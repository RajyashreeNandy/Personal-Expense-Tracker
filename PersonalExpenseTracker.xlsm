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slicers/slicer6.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1.xml" ContentType="application/vnd.ms-excel.controlproperties+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735342a4b3c12fff/Desktop/Excel/Personal Expense Tracker/"/>
    </mc:Choice>
  </mc:AlternateContent>
  <xr:revisionPtr revIDLastSave="641" documentId="8_{F9A1F532-F577-4929-9F92-CF705BF3E8EF}" xr6:coauthVersionLast="47" xr6:coauthVersionMax="47" xr10:uidLastSave="{B28A6C9A-CE78-4D04-828F-B39591E1CB55}"/>
  <bookViews>
    <workbookView xWindow="-108" yWindow="-108" windowWidth="23256" windowHeight="12456" firstSheet="6" activeTab="10" xr2:uid="{C2C2ABFC-1D02-4507-8258-CF8F3069A345}"/>
  </bookViews>
  <sheets>
    <sheet name="KPI Calculations" sheetId="15" state="hidden" r:id="rId1"/>
    <sheet name="Pivot_Top5Expenses" sheetId="14" r:id="rId2"/>
    <sheet name="Pivot_Top5IncomeSources" sheetId="16" r:id="rId3"/>
    <sheet name="Pivot_ExpensebyCategory" sheetId="12" r:id="rId4"/>
    <sheet name="Pivot_IncomebyCategory" sheetId="11" r:id="rId5"/>
    <sheet name="Pivot_MonthlySummary" sheetId="9" r:id="rId6"/>
    <sheet name="Categories" sheetId="5" r:id="rId7"/>
    <sheet name="Expense_Data" sheetId="4" r:id="rId8"/>
    <sheet name="Income_Data" sheetId="3" r:id="rId9"/>
    <sheet name="tblRawData" sheetId="2" r:id="rId10"/>
    <sheet name="Dashboard" sheetId="8" r:id="rId11"/>
    <sheet name="raw_data" sheetId="1" r:id="rId12"/>
  </sheets>
  <definedNames>
    <definedName name="ExpenseList">Categories!$B$2:$B$13</definedName>
    <definedName name="ExternalData_1" localSheetId="9" hidden="1">tblRawData!$A$1:$E$352</definedName>
    <definedName name="ExternalData_2" localSheetId="6" hidden="1">Categories!$B$1:$B$13</definedName>
    <definedName name="ExternalData_2" localSheetId="8" hidden="1">Income_Data!$A$1:$E$101</definedName>
    <definedName name="ExternalData_3" localSheetId="6" hidden="1">Categories!$A$1:$A$6</definedName>
    <definedName name="ExternalData_3" localSheetId="7" hidden="1">Expense_Data!$A$1:$E$251</definedName>
    <definedName name="IncomeList">Categories!$A$2:$A$6</definedName>
    <definedName name="Slicer_Category">#N/A</definedName>
    <definedName name="Slicer_Category1">#N/A</definedName>
    <definedName name="Slicer_Category2">#N/A</definedName>
    <definedName name="Slicer_Category3">#N/A</definedName>
    <definedName name="Slicer_Months__Date">#N/A</definedName>
    <definedName name="Slicer_Months__Date1">#N/A</definedName>
    <definedName name="Slicer_Months__Date2">#N/A</definedName>
    <definedName name="Slicer_Months__Date3">#N/A</definedName>
    <definedName name="Slicer_Type">#N/A</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9" l="1"/>
  <c r="E10" i="9"/>
  <c r="E9" i="9"/>
  <c r="E8" i="9"/>
  <c r="E7" i="9"/>
  <c r="E6" i="9"/>
  <c r="E5" i="9"/>
  <c r="B2" i="15"/>
  <c r="B3" i="15"/>
  <c r="B4" i="15" l="1"/>
  <c r="B5" i="15" s="1"/>
  <c r="F5" i="15" s="1"/>
  <c r="F6"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D53B3BD-83B5-48E8-B470-2345F9837AAD}" keepAlive="1" name="Query - Expense_Categories" description="Connection to the 'Expense_Categories' query in the workbook." type="5" refreshedVersion="8" background="1" saveData="1">
    <dbPr connection="Provider=Microsoft.Mashup.OleDb.1;Data Source=$Workbook$;Location=Expense_Categories;Extended Properties=&quot;&quot;" command="SELECT * FROM [Expense_Categories]"/>
  </connection>
  <connection id="2" xr16:uid="{86D7103D-673F-4EBA-A924-AE773760DFA6}" keepAlive="1" name="Query - Expense_Data" description="Connection to the 'Expense_Data' query in the workbook." type="5" refreshedVersion="8" background="1" saveData="1">
    <dbPr connection="Provider=Microsoft.Mashup.OleDb.1;Data Source=$Workbook$;Location=Expense_Data;Extended Properties=&quot;&quot;" command="SELECT * FROM [Expense_Data]"/>
  </connection>
  <connection id="3" xr16:uid="{40432A9E-3317-4E87-8DB3-8B1945E6293C}" keepAlive="1" name="Query - Income_Categories" description="Connection to the 'Income_Categories' query in the workbook." type="5" refreshedVersion="8" background="1" saveData="1">
    <dbPr connection="Provider=Microsoft.Mashup.OleDb.1;Data Source=$Workbook$;Location=Income_Categories;Extended Properties=&quot;&quot;" command="SELECT * FROM [Income_Categories]"/>
  </connection>
  <connection id="4" xr16:uid="{0F377194-1C1A-4919-828B-550C7034E66D}" keepAlive="1" name="Query - Income_Data" description="Connection to the 'Income_Data' query in the workbook." type="5" refreshedVersion="8" background="1" saveData="1">
    <dbPr connection="Provider=Microsoft.Mashup.OleDb.1;Data Source=$Workbook$;Location=Income_Data;Extended Properties=&quot;&quot;" command="SELECT * FROM [Income_Data]"/>
  </connection>
  <connection id="5" xr16:uid="{3CF1B880-1EE1-49DE-BA39-89989F4523B2}" keepAlive="1" interval="10" name="Query - tblRawData" description="Connection to the 'tblRawData' query in the workbook." type="5" refreshedVersion="8" background="1" refreshOnLoad="1" saveData="1">
    <dbPr connection="Provider=Microsoft.Mashup.OleDb.1;Data Source=$Workbook$;Location=tblRawData;Extended Properties=&quot;&quot;" command="SELECT * FROM [tblRawData]"/>
  </connection>
</connections>
</file>

<file path=xl/sharedStrings.xml><?xml version="1.0" encoding="utf-8"?>
<sst xmlns="http://schemas.openxmlformats.org/spreadsheetml/2006/main" count="3296" uniqueCount="131">
  <si>
    <t>Date</t>
  </si>
  <si>
    <t>Amount</t>
  </si>
  <si>
    <t>Description</t>
  </si>
  <si>
    <t>Type</t>
  </si>
  <si>
    <t>Category</t>
  </si>
  <si>
    <t>Mutual Funds</t>
  </si>
  <si>
    <t>Income</t>
  </si>
  <si>
    <t>Investments</t>
  </si>
  <si>
    <t>Yoga</t>
  </si>
  <si>
    <t>Expense</t>
  </si>
  <si>
    <t>Health</t>
  </si>
  <si>
    <t>Rental Income</t>
  </si>
  <si>
    <t>Passive Income</t>
  </si>
  <si>
    <t>Birthday Gift</t>
  </si>
  <si>
    <t>Other</t>
  </si>
  <si>
    <t>Groceries</t>
  </si>
  <si>
    <t>Food</t>
  </si>
  <si>
    <t>Crypto Trading</t>
  </si>
  <si>
    <t>Flight</t>
  </si>
  <si>
    <t>Travel</t>
  </si>
  <si>
    <t>Skincare</t>
  </si>
  <si>
    <t>Care</t>
  </si>
  <si>
    <t>Zomato Order</t>
  </si>
  <si>
    <t>Design Project</t>
  </si>
  <si>
    <t>Freelance</t>
  </si>
  <si>
    <t>Tuition</t>
  </si>
  <si>
    <t>Education</t>
  </si>
  <si>
    <t>Mobile Recharge</t>
  </si>
  <si>
    <t>Utilities</t>
  </si>
  <si>
    <t>Royalties</t>
  </si>
  <si>
    <t>Books</t>
  </si>
  <si>
    <t>Workshop</t>
  </si>
  <si>
    <t>Concert</t>
  </si>
  <si>
    <t>Entertainment</t>
  </si>
  <si>
    <t>Hotel</t>
  </si>
  <si>
    <t>Electronics</t>
  </si>
  <si>
    <t>Shopping</t>
  </si>
  <si>
    <t>Movie</t>
  </si>
  <si>
    <t>Charity</t>
  </si>
  <si>
    <t>Misc</t>
  </si>
  <si>
    <t>Games</t>
  </si>
  <si>
    <t>Spa</t>
  </si>
  <si>
    <t>Dining Out</t>
  </si>
  <si>
    <t>Bank Fees</t>
  </si>
  <si>
    <t>Lottery Winnings</t>
  </si>
  <si>
    <t>Insurance</t>
  </si>
  <si>
    <t>Housing</t>
  </si>
  <si>
    <t>Medicines</t>
  </si>
  <si>
    <t>Mortgage</t>
  </si>
  <si>
    <t>Magazines</t>
  </si>
  <si>
    <t>Stock Dividends</t>
  </si>
  <si>
    <t>Loan EMI</t>
  </si>
  <si>
    <t>Debts</t>
  </si>
  <si>
    <t>Uber</t>
  </si>
  <si>
    <t>Transport</t>
  </si>
  <si>
    <t>Doctor</t>
  </si>
  <si>
    <t>Metro</t>
  </si>
  <si>
    <t>Student Loan</t>
  </si>
  <si>
    <t>Rent</t>
  </si>
  <si>
    <t>Haircut</t>
  </si>
  <si>
    <t>Monthly Salary</t>
  </si>
  <si>
    <t>Salary</t>
  </si>
  <si>
    <t>Credit Card</t>
  </si>
  <si>
    <t>Affiliate Earnings</t>
  </si>
  <si>
    <t>Gym</t>
  </si>
  <si>
    <t>Commission</t>
  </si>
  <si>
    <t>Clothing</t>
  </si>
  <si>
    <t>Tour Guide</t>
  </si>
  <si>
    <t>Gifts</t>
  </si>
  <si>
    <t>Car Service</t>
  </si>
  <si>
    <t>Writing Gig</t>
  </si>
  <si>
    <t>Internet</t>
  </si>
  <si>
    <t>Petrol</t>
  </si>
  <si>
    <t>Maintenance</t>
  </si>
  <si>
    <t>Bonus</t>
  </si>
  <si>
    <t>Water</t>
  </si>
  <si>
    <t>Coffee</t>
  </si>
  <si>
    <t>Electricity</t>
  </si>
  <si>
    <t>Tax Refund</t>
  </si>
  <si>
    <t>Netflix</t>
  </si>
  <si>
    <t>Amazon</t>
  </si>
  <si>
    <t>Course</t>
  </si>
  <si>
    <t>Consulting Work</t>
  </si>
  <si>
    <t>Paste raw data below and click refresh all data button</t>
  </si>
  <si>
    <t>Income Category</t>
  </si>
  <si>
    <t>Expense Category</t>
  </si>
  <si>
    <t>Row Labels</t>
  </si>
  <si>
    <t>Grand Total</t>
  </si>
  <si>
    <t>Jan</t>
  </si>
  <si>
    <t>Feb</t>
  </si>
  <si>
    <t>Mar</t>
  </si>
  <si>
    <t>Apr</t>
  </si>
  <si>
    <t>May</t>
  </si>
  <si>
    <t>Jun</t>
  </si>
  <si>
    <t>Column Labels</t>
  </si>
  <si>
    <t>Sum of Amount</t>
  </si>
  <si>
    <t>2025</t>
  </si>
  <si>
    <t>Years (Date)</t>
  </si>
  <si>
    <t>Months (Date)</t>
  </si>
  <si>
    <t>2025 Total</t>
  </si>
  <si>
    <t>Net Savings</t>
  </si>
  <si>
    <t>Data Period: Jan 2025 to Jun 2025</t>
  </si>
  <si>
    <t xml:space="preserve">Monthly Income Breakdown by Category </t>
  </si>
  <si>
    <t>Monthly Income VS Expense Summary</t>
  </si>
  <si>
    <t xml:space="preserve">Monthly Expense Breakdown by Category </t>
  </si>
  <si>
    <t>Top 5 Expenses</t>
  </si>
  <si>
    <t>METRIC</t>
  </si>
  <si>
    <t>VALUE</t>
  </si>
  <si>
    <t>Total Income</t>
  </si>
  <si>
    <t>Total Expense</t>
  </si>
  <si>
    <t>Savings Rate</t>
  </si>
  <si>
    <t>Red Zone</t>
  </si>
  <si>
    <t>Yellow Zone</t>
  </si>
  <si>
    <t>Green Zone</t>
  </si>
  <si>
    <t>Hidden Half</t>
  </si>
  <si>
    <t>needle position</t>
  </si>
  <si>
    <t>remaining</t>
  </si>
  <si>
    <t>💡 About the Financial Health Meter</t>
  </si>
  <si>
    <t>Top 5 Income Source</t>
  </si>
  <si>
    <t>📌 How to Interact with This Dashboard</t>
  </si>
  <si>
    <t xml:space="preserve">         🔄 Select a Month:</t>
  </si>
  <si>
    <t xml:space="preserve">                Use the Month Slicer on the right to filter all charts for a specific month.</t>
  </si>
  <si>
    <t xml:space="preserve">         📊 View Exact Values:</t>
  </si>
  <si>
    <t xml:space="preserve">                 i)Hover your mouse over any bar, donut, or gauge to see the exact value.</t>
  </si>
  <si>
    <t xml:space="preserve">                ii)Or click the chart → ➕ Plus icon (Chart Elements) → enable Data Labels for on-chart values.</t>
  </si>
  <si>
    <t xml:space="preserve">        💡 Quick Tip:</t>
  </si>
  <si>
    <t xml:space="preserve">               To reset filters, click the clear filter icon on the slicer.</t>
  </si>
  <si>
    <t xml:space="preserve">        This gauge visualizes your Savings Rate as a quick snapshot of your financial health.</t>
  </si>
  <si>
    <r>
      <t xml:space="preserve">          Red Zone (0–10%)</t>
    </r>
    <r>
      <rPr>
        <sz val="11"/>
        <color theme="1"/>
        <rFont val="Calibri"/>
        <family val="2"/>
        <scheme val="minor"/>
      </rPr>
      <t xml:space="preserve"> </t>
    </r>
    <r>
      <rPr>
        <b/>
        <sz val="11"/>
        <color theme="1"/>
        <rFont val="Calibri"/>
        <family val="2"/>
        <scheme val="minor"/>
      </rPr>
      <t>→ Critical: Minimal savings, high risk</t>
    </r>
  </si>
  <si>
    <r>
      <t xml:space="preserve">          Yellow Zone (10–20%)</t>
    </r>
    <r>
      <rPr>
        <sz val="11"/>
        <color theme="1"/>
        <rFont val="Calibri"/>
        <family val="2"/>
        <scheme val="minor"/>
      </rPr>
      <t xml:space="preserve"> </t>
    </r>
    <r>
      <rPr>
        <b/>
        <sz val="11"/>
        <color theme="1"/>
        <rFont val="Calibri"/>
        <family val="2"/>
        <scheme val="minor"/>
      </rPr>
      <t>→ Moderate: Needs improvement</t>
    </r>
  </si>
  <si>
    <r>
      <t xml:space="preserve">          Green Zone (20–30%+)</t>
    </r>
    <r>
      <rPr>
        <sz val="11"/>
        <color theme="1"/>
        <rFont val="Calibri"/>
        <family val="2"/>
        <scheme val="minor"/>
      </rPr>
      <t xml:space="preserve"> </t>
    </r>
    <r>
      <rPr>
        <b/>
        <sz val="11"/>
        <color theme="1"/>
        <rFont val="Calibri"/>
        <family val="2"/>
        <scheme val="minor"/>
      </rPr>
      <t>→ Healthy: Strong savings habit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</si>
</sst>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numFmt numFmtId="165" formatCode="dd/mm/yyyy"/>
    <numFmt numFmtId="166" formatCode="&quot;₹&quot;\ #,##0.00"/>
    <numFmt numFmtId="167" formatCode="&quot;₹&quot;\ #,##0"/>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color theme="9" tint="-0.249977111117893"/>
      <name val="Calibri"/>
      <family val="2"/>
      <scheme val="minor"/>
    </font>
    <font>
      <b/>
      <sz val="14"/>
      <color theme="4" tint="-0.499984740745262"/>
      <name val="Calibri"/>
      <family val="2"/>
      <scheme val="minor"/>
    </font>
    <font>
      <sz val="11"/>
      <color theme="5" tint="-0.499984740745262"/>
      <name val="Calibri"/>
      <family val="2"/>
      <scheme val="minor"/>
    </font>
    <font>
      <b/>
      <sz val="11"/>
      <name val="Calibri"/>
      <family val="2"/>
      <scheme val="minor"/>
    </font>
    <font>
      <b/>
      <sz val="14"/>
      <color theme="1"/>
      <name val="Calibri"/>
      <family val="2"/>
      <scheme val="minor"/>
    </font>
    <font>
      <b/>
      <sz val="14"/>
      <color rgb="FF339966"/>
      <name val="Calibri Light"/>
      <family val="2"/>
    </font>
    <font>
      <b/>
      <sz val="14"/>
      <color theme="1"/>
      <name val="Arial Black"/>
      <family val="2"/>
    </font>
    <font>
      <sz val="11"/>
      <name val="Calibri"/>
      <family val="2"/>
      <scheme val="minor"/>
    </font>
  </fonts>
  <fills count="6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theme="9"/>
        <bgColor theme="9"/>
      </patternFill>
    </fill>
    <fill>
      <patternFill patternType="solid">
        <fgColor theme="9" tint="0.79998168889431442"/>
        <bgColor theme="9" tint="0.79998168889431442"/>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theme="9" tint="0.39997558519241921"/>
        <bgColor indexed="64"/>
      </patternFill>
    </fill>
    <fill>
      <patternFill patternType="solid">
        <fgColor theme="7" tint="0.39997558519241921"/>
        <bgColor indexed="64"/>
      </patternFill>
    </fill>
    <fill>
      <patternFill patternType="solid">
        <fgColor theme="5" tint="0.79998168889431442"/>
        <bgColor indexed="64"/>
      </patternFill>
    </fill>
    <fill>
      <patternFill patternType="solid">
        <fgColor rgb="FF00B0F0"/>
        <bgColor indexed="64"/>
      </patternFill>
    </fill>
    <fill>
      <patternFill patternType="solid">
        <fgColor rgb="FF99FF33"/>
        <bgColor indexed="64"/>
      </patternFill>
    </fill>
    <fill>
      <patternFill patternType="solid">
        <fgColor rgb="FF92D050"/>
        <bgColor indexed="64"/>
      </patternFill>
    </fill>
    <fill>
      <patternFill patternType="solid">
        <fgColor rgb="FF00B050"/>
        <bgColor indexed="64"/>
      </patternFill>
    </fill>
    <fill>
      <patternFill patternType="solid">
        <fgColor rgb="FFFF9933"/>
        <bgColor indexed="64"/>
      </patternFill>
    </fill>
    <fill>
      <patternFill patternType="solid">
        <fgColor rgb="FFFF6600"/>
        <bgColor indexed="64"/>
      </patternFill>
    </fill>
    <fill>
      <patternFill patternType="solid">
        <fgColor rgb="FFFF0000"/>
        <bgColor indexed="64"/>
      </patternFill>
    </fill>
    <fill>
      <patternFill patternType="solid">
        <fgColor rgb="FFFFFF00"/>
        <bgColor indexed="64"/>
      </patternFill>
    </fill>
    <fill>
      <patternFill patternType="solid">
        <fgColor rgb="FF3366FF"/>
        <bgColor rgb="FF00B0F0"/>
      </patternFill>
    </fill>
    <fill>
      <patternFill patternType="solid">
        <fgColor rgb="FF00B0F0"/>
        <bgColor rgb="FF3366FF"/>
      </patternFill>
    </fill>
    <fill>
      <patternFill patternType="solid">
        <fgColor rgb="FFEE0000"/>
        <bgColor indexed="64"/>
      </patternFill>
    </fill>
    <fill>
      <patternFill patternType="solid">
        <fgColor rgb="FFDE3E49"/>
        <bgColor indexed="64"/>
      </patternFill>
    </fill>
    <fill>
      <patternFill patternType="solid">
        <fgColor theme="5" tint="-0.249977111117893"/>
        <bgColor indexed="64"/>
      </patternFill>
    </fill>
    <fill>
      <patternFill patternType="solid">
        <fgColor theme="7"/>
        <bgColor indexed="64"/>
      </patternFill>
    </fill>
    <fill>
      <patternFill patternType="solid">
        <fgColor theme="9" tint="0.39997558519241921"/>
        <bgColor rgb="FF00B050"/>
      </patternFill>
    </fill>
    <fill>
      <patternFill patternType="solid">
        <fgColor rgb="FF69B6D5"/>
        <bgColor indexed="64"/>
      </patternFill>
    </fill>
    <fill>
      <patternFill patternType="solid">
        <fgColor rgb="FFFFAFFF"/>
        <bgColor indexed="64"/>
      </patternFill>
    </fill>
    <fill>
      <patternFill patternType="solid">
        <fgColor rgb="FF99FF99"/>
        <bgColor indexed="64"/>
      </patternFill>
    </fill>
    <fill>
      <patternFill patternType="solid">
        <fgColor rgb="FF00B050"/>
        <bgColor rgb="FF00B050"/>
      </patternFill>
    </fill>
    <fill>
      <patternFill patternType="solid">
        <fgColor theme="0"/>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right/>
      <top style="thin">
        <color theme="9" tint="0.39997558519241921"/>
      </top>
      <bottom/>
      <diagonal/>
    </border>
    <border>
      <left style="thin">
        <color theme="9"/>
      </left>
      <right style="thin">
        <color theme="9"/>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2">
    <xf numFmtId="0" fontId="0" fillId="0" borderId="0" xfId="0"/>
    <xf numFmtId="14" fontId="0" fillId="0" borderId="0" xfId="0" applyNumberFormat="1"/>
    <xf numFmtId="0" fontId="0" fillId="37" borderId="10" xfId="0" applyFill="1" applyBorder="1"/>
    <xf numFmtId="0" fontId="0" fillId="36" borderId="10" xfId="0" applyFill="1" applyBorder="1"/>
    <xf numFmtId="0" fontId="13" fillId="33" borderId="11" xfId="0" applyFont="1" applyFill="1" applyBorder="1"/>
    <xf numFmtId="0" fontId="0" fillId="36" borderId="13" xfId="0" applyFill="1" applyBorder="1"/>
    <xf numFmtId="14" fontId="0" fillId="37" borderId="14" xfId="0" applyNumberFormat="1" applyFill="1" applyBorder="1"/>
    <xf numFmtId="0" fontId="18" fillId="38" borderId="0" xfId="0" applyFont="1" applyFill="1"/>
    <xf numFmtId="164" fontId="13" fillId="33" borderId="0" xfId="0" applyNumberFormat="1" applyFont="1" applyFill="1"/>
    <xf numFmtId="165" fontId="0" fillId="0" borderId="0" xfId="0" applyNumberFormat="1"/>
    <xf numFmtId="165" fontId="0" fillId="36" borderId="12" xfId="0" applyNumberFormat="1" applyFill="1" applyBorder="1"/>
    <xf numFmtId="165" fontId="0" fillId="37" borderId="14" xfId="0" applyNumberFormat="1" applyFill="1" applyBorder="1"/>
    <xf numFmtId="165" fontId="0" fillId="36" borderId="14" xfId="0" applyNumberFormat="1" applyFill="1" applyBorder="1"/>
    <xf numFmtId="0" fontId="0" fillId="35" borderId="15" xfId="0" applyFill="1" applyBorder="1"/>
    <xf numFmtId="0" fontId="0" fillId="0" borderId="15" xfId="0" applyBorder="1"/>
    <xf numFmtId="0" fontId="13" fillId="34" borderId="0" xfId="0" applyFont="1" applyFill="1"/>
    <xf numFmtId="166" fontId="13" fillId="33" borderId="11" xfId="0" applyNumberFormat="1" applyFont="1" applyFill="1" applyBorder="1"/>
    <xf numFmtId="166" fontId="0" fillId="36" borderId="13" xfId="0" applyNumberFormat="1" applyFill="1" applyBorder="1"/>
    <xf numFmtId="166" fontId="0" fillId="37" borderId="10" xfId="0" applyNumberFormat="1" applyFill="1" applyBorder="1"/>
    <xf numFmtId="166" fontId="0" fillId="36" borderId="10" xfId="0" applyNumberFormat="1" applyFill="1" applyBorder="1"/>
    <xf numFmtId="166" fontId="0" fillId="0" borderId="0" xfId="0" applyNumberFormat="1"/>
    <xf numFmtId="166"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xf numFmtId="166" fontId="19" fillId="0" borderId="16" xfId="0" applyNumberFormat="1" applyFont="1" applyBorder="1" applyAlignment="1">
      <alignment horizontal="center"/>
    </xf>
    <xf numFmtId="0" fontId="20" fillId="39" borderId="20" xfId="0" applyFont="1" applyFill="1" applyBorder="1" applyAlignment="1">
      <alignment horizontal="center"/>
    </xf>
    <xf numFmtId="0" fontId="21" fillId="40" borderId="20" xfId="0" applyFont="1" applyFill="1" applyBorder="1" applyAlignment="1">
      <alignment horizontal="center"/>
    </xf>
    <xf numFmtId="0" fontId="22" fillId="41" borderId="0" xfId="0" applyFont="1" applyFill="1" applyAlignment="1">
      <alignment horizontal="center"/>
    </xf>
    <xf numFmtId="0" fontId="22" fillId="44" borderId="19" xfId="0" applyFont="1" applyFill="1" applyBorder="1" applyAlignment="1">
      <alignment horizontal="center"/>
    </xf>
    <xf numFmtId="0" fontId="22" fillId="43" borderId="19" xfId="0" applyFont="1" applyFill="1" applyBorder="1" applyAlignment="1">
      <alignment horizontal="center"/>
    </xf>
    <xf numFmtId="166" fontId="22" fillId="44" borderId="19" xfId="0" applyNumberFormat="1" applyFont="1" applyFill="1" applyBorder="1" applyAlignment="1">
      <alignment horizontal="center"/>
    </xf>
    <xf numFmtId="0" fontId="22" fillId="44" borderId="18" xfId="0" applyFont="1" applyFill="1" applyBorder="1" applyAlignment="1">
      <alignment horizontal="center"/>
    </xf>
    <xf numFmtId="0" fontId="23" fillId="42" borderId="22" xfId="0" applyFont="1" applyFill="1" applyBorder="1" applyAlignment="1">
      <alignment horizontal="center"/>
    </xf>
    <xf numFmtId="0" fontId="16" fillId="43" borderId="20" xfId="0" applyFont="1" applyFill="1" applyBorder="1" applyAlignment="1">
      <alignment horizontal="center"/>
    </xf>
    <xf numFmtId="0" fontId="0" fillId="45" borderId="0" xfId="0" applyFill="1" applyAlignment="1">
      <alignment horizontal="center"/>
    </xf>
    <xf numFmtId="0" fontId="0" fillId="45" borderId="19" xfId="0" applyFill="1" applyBorder="1" applyAlignment="1">
      <alignment horizontal="center"/>
    </xf>
    <xf numFmtId="0" fontId="0" fillId="46" borderId="0" xfId="0" applyFill="1" applyAlignment="1">
      <alignment horizontal="center"/>
    </xf>
    <xf numFmtId="0" fontId="0" fillId="47" borderId="19" xfId="0" applyFill="1" applyBorder="1" applyAlignment="1">
      <alignment horizontal="center"/>
    </xf>
    <xf numFmtId="0" fontId="0" fillId="46" borderId="18" xfId="0" applyFill="1" applyBorder="1" applyAlignment="1">
      <alignment horizontal="center"/>
    </xf>
    <xf numFmtId="166" fontId="0" fillId="47" borderId="0" xfId="0" applyNumberFormat="1" applyFill="1" applyAlignment="1">
      <alignment horizontal="center"/>
    </xf>
    <xf numFmtId="0" fontId="23" fillId="48" borderId="20" xfId="0" applyFont="1" applyFill="1" applyBorder="1" applyAlignment="1">
      <alignment horizontal="center"/>
    </xf>
    <xf numFmtId="0" fontId="22" fillId="49" borderId="0" xfId="0" applyFont="1" applyFill="1" applyAlignment="1">
      <alignment horizontal="center"/>
    </xf>
    <xf numFmtId="0" fontId="22" fillId="50" borderId="0" xfId="0" applyFont="1" applyFill="1" applyAlignment="1">
      <alignment horizontal="center"/>
    </xf>
    <xf numFmtId="0" fontId="22" fillId="50" borderId="19" xfId="0" applyFont="1" applyFill="1" applyBorder="1" applyAlignment="1">
      <alignment horizontal="center"/>
    </xf>
    <xf numFmtId="0" fontId="0" fillId="50" borderId="0" xfId="0" applyFill="1"/>
    <xf numFmtId="166" fontId="22" fillId="41" borderId="0" xfId="0" applyNumberFormat="1" applyFont="1" applyFill="1" applyAlignment="1">
      <alignment horizontal="center"/>
    </xf>
    <xf numFmtId="0" fontId="16" fillId="39" borderId="20" xfId="0" applyFont="1" applyFill="1" applyBorder="1" applyAlignment="1">
      <alignment horizontal="center"/>
    </xf>
    <xf numFmtId="0" fontId="0" fillId="51" borderId="19" xfId="0" applyFill="1" applyBorder="1" applyAlignment="1">
      <alignment horizontal="center"/>
    </xf>
    <xf numFmtId="0" fontId="0" fillId="52" borderId="19" xfId="0" applyFill="1" applyBorder="1" applyAlignment="1">
      <alignment horizontal="center"/>
    </xf>
    <xf numFmtId="166" fontId="0" fillId="0" borderId="21" xfId="0" applyNumberFormat="1" applyBorder="1" applyAlignment="1">
      <alignment horizontal="center"/>
    </xf>
    <xf numFmtId="0" fontId="16" fillId="53" borderId="20" xfId="0" applyFont="1" applyFill="1" applyBorder="1" applyAlignment="1">
      <alignment horizontal="center"/>
    </xf>
    <xf numFmtId="0" fontId="16" fillId="54" borderId="20" xfId="0" applyFont="1" applyFill="1" applyBorder="1" applyAlignment="1">
      <alignment horizontal="center"/>
    </xf>
    <xf numFmtId="0" fontId="0" fillId="51" borderId="0" xfId="0" applyFill="1" applyAlignment="1">
      <alignment horizontal="center"/>
    </xf>
    <xf numFmtId="166" fontId="0" fillId="52" borderId="0" xfId="0" applyNumberFormat="1" applyFill="1" applyAlignment="1">
      <alignment horizontal="center"/>
    </xf>
    <xf numFmtId="0" fontId="0" fillId="0" borderId="17" xfId="0" applyBorder="1" applyAlignment="1">
      <alignment horizontal="center"/>
    </xf>
    <xf numFmtId="167" fontId="0" fillId="0" borderId="0" xfId="0" applyNumberFormat="1"/>
    <xf numFmtId="10" fontId="0" fillId="0" borderId="0" xfId="0" applyNumberFormat="1"/>
    <xf numFmtId="0" fontId="16" fillId="0" borderId="0" xfId="0" applyFont="1"/>
    <xf numFmtId="0" fontId="22" fillId="44" borderId="0" xfId="0" applyFont="1" applyFill="1" applyAlignment="1">
      <alignment horizontal="center"/>
    </xf>
    <xf numFmtId="166" fontId="22" fillId="44" borderId="0" xfId="0" applyNumberFormat="1" applyFont="1" applyFill="1" applyAlignment="1">
      <alignment horizontal="center"/>
    </xf>
    <xf numFmtId="0" fontId="22" fillId="43" borderId="0" xfId="0" applyFont="1" applyFill="1" applyAlignment="1">
      <alignment horizontal="center"/>
    </xf>
    <xf numFmtId="0" fontId="22" fillId="44" borderId="0" xfId="0" applyFont="1" applyFill="1" applyAlignment="1">
      <alignment horizontal="center" vertical="center" wrapText="1"/>
    </xf>
    <xf numFmtId="166" fontId="0" fillId="0" borderId="23" xfId="0" applyNumberFormat="1" applyBorder="1" applyAlignment="1">
      <alignment horizontal="center"/>
    </xf>
    <xf numFmtId="0" fontId="0" fillId="0" borderId="0" xfId="0" pivotButton="1"/>
    <xf numFmtId="0" fontId="0" fillId="0" borderId="0" xfId="0" applyAlignment="1">
      <alignment horizontal="left"/>
    </xf>
    <xf numFmtId="0" fontId="18" fillId="0" borderId="0" xfId="0" applyFont="1"/>
    <xf numFmtId="0" fontId="25" fillId="0" borderId="0" xfId="0" applyFont="1"/>
    <xf numFmtId="0" fontId="16" fillId="56" borderId="0" xfId="0" applyFont="1" applyFill="1" applyAlignment="1">
      <alignment horizontal="center"/>
    </xf>
    <xf numFmtId="0" fontId="16" fillId="57" borderId="0" xfId="0" applyFont="1" applyFill="1" applyAlignment="1">
      <alignment horizontal="center"/>
    </xf>
    <xf numFmtId="0" fontId="0" fillId="58" borderId="0" xfId="0" applyFill="1" applyAlignment="1">
      <alignment horizontal="center"/>
    </xf>
    <xf numFmtId="166" fontId="0" fillId="58" borderId="0" xfId="0" applyNumberFormat="1" applyFill="1" applyAlignment="1">
      <alignment horizontal="center"/>
    </xf>
    <xf numFmtId="0" fontId="0" fillId="44" borderId="0" xfId="0" applyFill="1" applyAlignment="1">
      <alignment horizontal="center"/>
    </xf>
    <xf numFmtId="166" fontId="0" fillId="59" borderId="0" xfId="0" applyNumberFormat="1" applyFill="1" applyAlignment="1">
      <alignment horizontal="center"/>
    </xf>
    <xf numFmtId="0" fontId="26" fillId="0" borderId="0" xfId="0" pivotButton="1" applyFont="1" applyAlignment="1">
      <alignment horizontal="center"/>
    </xf>
    <xf numFmtId="0" fontId="26" fillId="0" borderId="0" xfId="0" applyFont="1" applyAlignment="1">
      <alignment horizontal="center"/>
    </xf>
    <xf numFmtId="0" fontId="16" fillId="0" borderId="0" xfId="0" applyFont="1" applyAlignment="1">
      <alignment horizontal="left" vertical="center" indent="1"/>
    </xf>
    <xf numFmtId="0" fontId="25" fillId="0" borderId="0" xfId="0" applyFont="1" applyAlignment="1">
      <alignment vertical="center"/>
    </xf>
    <xf numFmtId="0" fontId="0" fillId="60" borderId="0" xfId="0" applyFill="1"/>
    <xf numFmtId="0" fontId="16" fillId="0" borderId="0" xfId="0" applyFont="1" applyAlignment="1">
      <alignment horizontal="center" vertical="center" wrapText="1"/>
    </xf>
    <xf numFmtId="0" fontId="16" fillId="0" borderId="0" xfId="0" applyFont="1" applyAlignment="1">
      <alignment horizontal="center"/>
    </xf>
    <xf numFmtId="166" fontId="22" fillId="44" borderId="19" xfId="0" applyNumberFormat="1" applyFont="1" applyFill="1" applyBorder="1" applyAlignment="1">
      <alignment horizontal="center" vertical="center" wrapText="1"/>
    </xf>
    <xf numFmtId="166" fontId="22" fillId="55" borderId="0" xfId="0" applyNumberFormat="1"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0">
    <dxf>
      <numFmt numFmtId="166" formatCode="&quot;₹&quot;\ #,##0.00"/>
    </dxf>
    <dxf>
      <numFmt numFmtId="165" formatCode="dd/mm/yyyy"/>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style="thin">
          <color theme="0"/>
        </left>
        <right/>
        <top style="thin">
          <color theme="0"/>
        </top>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style="thin">
          <color theme="0"/>
        </left>
        <right/>
        <top style="thin">
          <color theme="0"/>
        </top>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style="thin">
          <color theme="0"/>
        </left>
        <right/>
        <top style="thin">
          <color theme="0"/>
        </top>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style="thin">
          <color theme="0"/>
        </left>
        <right/>
        <top style="thin">
          <color theme="0"/>
        </top>
        <bottom/>
        <vertical/>
        <horizontal/>
      </border>
    </dxf>
    <dxf>
      <font>
        <b val="0"/>
        <i val="0"/>
        <strike val="0"/>
        <condense val="0"/>
        <extend val="0"/>
        <outline val="0"/>
        <shadow val="0"/>
        <u val="none"/>
        <vertAlign val="baseline"/>
        <sz val="11"/>
        <color theme="1"/>
        <name val="Calibri"/>
        <family val="2"/>
        <scheme val="minor"/>
      </font>
      <numFmt numFmtId="19" formatCode="d/m/yy"/>
      <fill>
        <patternFill patternType="solid">
          <fgColor theme="0" tint="-0.14999847407452621"/>
          <bgColor theme="0" tint="-0.14999847407452621"/>
        </patternFill>
      </fill>
      <border diagonalUp="0" diagonalDown="0">
        <left/>
        <right/>
        <top style="thin">
          <color theme="0"/>
        </top>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font>
        <b/>
        <i val="0"/>
        <strike val="0"/>
        <condense val="0"/>
        <extend val="0"/>
        <outline val="0"/>
        <shadow val="0"/>
        <u val="none"/>
        <vertAlign val="baseline"/>
        <sz val="11"/>
        <color theme="0"/>
        <name val="Calibri"/>
        <family val="2"/>
        <scheme val="minor"/>
      </font>
      <fill>
        <patternFill patternType="solid">
          <fgColor theme="1"/>
          <bgColor theme="1"/>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166" formatCode="&quot;₹&quot;\ #,##0.00"/>
    </dxf>
    <dxf>
      <numFmt numFmtId="0" formatCode="General"/>
    </dxf>
    <dxf>
      <numFmt numFmtId="0" formatCode="General"/>
    </dxf>
    <dxf>
      <numFmt numFmtId="0" formatCode="General"/>
    </dxf>
    <dxf>
      <numFmt numFmtId="165" formatCode="dd/mm/yyyy"/>
    </dxf>
    <dxf>
      <numFmt numFmtId="166" formatCode="&quot;₹&quot;\ #,##0.00"/>
    </dxf>
    <dxf>
      <numFmt numFmtId="0" formatCode="General"/>
    </dxf>
    <dxf>
      <numFmt numFmtId="0" formatCode="General"/>
    </dxf>
    <dxf>
      <numFmt numFmtId="0" formatCode="General"/>
    </dxf>
    <dxf>
      <numFmt numFmtId="165" formatCode="dd/mm/yyyy"/>
    </dxf>
    <dxf>
      <font>
        <b val="0"/>
        <i val="0"/>
        <strike val="0"/>
        <condense val="0"/>
        <extend val="0"/>
        <outline val="0"/>
        <shadow val="0"/>
        <u val="none"/>
        <vertAlign val="baseline"/>
        <sz val="11"/>
        <color theme="1"/>
        <name val="Calibri"/>
        <family val="2"/>
        <scheme val="minor"/>
      </font>
      <numFmt numFmtId="0" formatCode="General"/>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0" formatCode="General"/>
    </dxf>
    <dxf>
      <font>
        <b val="0"/>
        <i val="0"/>
        <strike val="0"/>
        <condense val="0"/>
        <extend val="0"/>
        <outline val="0"/>
        <shadow val="0"/>
        <u val="none"/>
        <vertAlign val="baseline"/>
        <sz val="10"/>
        <color theme="1"/>
        <name val="Arial Unicode MS"/>
        <scheme val="none"/>
      </font>
    </dxf>
    <dxf>
      <fill>
        <patternFill>
          <fgColor indexed="64"/>
          <bgColor rgb="FF92D050"/>
        </patternFill>
      </fill>
    </dxf>
    <dxf>
      <fill>
        <patternFill>
          <fgColor indexed="64"/>
          <bgColor rgb="FF92D050"/>
        </patternFill>
      </fill>
    </dxf>
    <dxf>
      <fill>
        <patternFill>
          <fgColor indexed="64"/>
          <bgColor rgb="FF92D050"/>
        </patternFill>
      </fill>
    </dxf>
    <dxf>
      <fill>
        <patternFill>
          <fgColor indexed="64"/>
          <bgColor rgb="FF00B050"/>
        </patternFill>
      </fill>
    </dxf>
    <dxf>
      <fill>
        <patternFill>
          <fgColor indexed="64"/>
          <bgColor rgb="FF00B050"/>
        </patternFill>
      </fill>
    </dxf>
    <dxf>
      <fill>
        <patternFill>
          <fgColor indexed="64"/>
          <bgColor rgb="FF00B050"/>
        </patternFill>
      </fill>
    </dxf>
    <dxf>
      <numFmt numFmtId="166" formatCode="&quot;₹&quot;\ #,##0.00"/>
    </dxf>
    <dxf>
      <fill>
        <patternFill>
          <fgColor indexed="64"/>
          <bgColor rgb="FF00B050"/>
        </patternFill>
      </fill>
    </dxf>
    <dxf>
      <fill>
        <patternFill>
          <fgColor indexed="64"/>
          <bgColor rgb="FF00B050"/>
        </patternFill>
      </fill>
    </dxf>
    <dxf>
      <numFmt numFmtId="166" formatCode="&quot;₹&quot;\ #,##0.00"/>
    </dxf>
    <dxf>
      <numFmt numFmtId="166" formatCode="&quot;₹&quot;\ #,##0.00"/>
    </dxf>
    <dxf>
      <font>
        <color auto="1"/>
      </font>
      <numFmt numFmtId="0" formatCode="General"/>
      <fill>
        <patternFill>
          <fgColor rgb="FF00B050"/>
        </patternFill>
      </fill>
    </dxf>
    <dxf>
      <font>
        <color auto="1"/>
      </font>
      <numFmt numFmtId="0" formatCode="General"/>
      <fill>
        <patternFill>
          <fgColor rgb="FF00B050"/>
        </patternFill>
      </fill>
    </dxf>
    <dxf>
      <font>
        <color auto="1"/>
      </font>
      <fill>
        <patternFill>
          <fgColor rgb="FF00B05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ill>
        <patternFill>
          <bgColor rgb="FF00B050"/>
        </patternFill>
      </fill>
    </dxf>
    <dxf>
      <font>
        <color auto="1"/>
      </font>
      <fill>
        <patternFill>
          <fgColor rgb="FF92D050"/>
        </patternFill>
      </fill>
    </dxf>
    <dxf>
      <font>
        <color auto="1"/>
      </font>
      <fill>
        <patternFill>
          <fgColor rgb="FF92D050"/>
        </patternFill>
      </fill>
    </dxf>
    <dxf>
      <border>
        <vertical style="thin">
          <color indexed="64"/>
        </vertical>
        <horizontal style="thin">
          <color indexed="64"/>
        </horizontal>
      </border>
    </dxf>
    <dxf>
      <font>
        <color auto="1"/>
      </font>
    </dxf>
    <dxf>
      <fill>
        <patternFill>
          <bgColor rgb="FF92D050"/>
        </patternFill>
      </fill>
    </dxf>
    <dxf>
      <font>
        <color auto="1"/>
      </font>
      <fill>
        <patternFill>
          <fgColor rgb="FF00B050"/>
        </patternFill>
      </fill>
    </dxf>
    <dxf>
      <font>
        <color auto="1"/>
      </font>
      <fill>
        <patternFill>
          <fgColor rgb="FF00B050"/>
        </patternFill>
      </fill>
    </dxf>
    <dxf>
      <font>
        <color auto="1"/>
      </font>
      <fill>
        <patternFill>
          <fgColor rgb="FF00B050"/>
        </patternFill>
      </fill>
    </dxf>
    <dxf>
      <border>
        <left style="thin">
          <color indexed="64"/>
        </left>
        <right style="thin">
          <color indexed="64"/>
        </right>
        <bottom style="thin">
          <color indexed="64"/>
        </bottom>
        <vertical style="thin">
          <color indexed="64"/>
        </vertical>
        <horizontal style="thin">
          <color indexed="64"/>
        </horizontal>
      </border>
    </dxf>
    <dxf>
      <font>
        <color auto="1"/>
      </font>
    </dxf>
    <dxf>
      <fill>
        <patternFill>
          <bgColor rgb="FF00B050"/>
        </patternFill>
      </fill>
    </dxf>
    <dxf>
      <border>
        <top style="thin">
          <color indexed="64"/>
        </top>
      </border>
    </dxf>
    <dxf>
      <border>
        <left style="thin">
          <color indexed="64"/>
        </left>
      </border>
    </dxf>
    <dxf>
      <border>
        <right style="thin">
          <color indexed="64"/>
        </right>
      </border>
    </dxf>
    <dxf>
      <border>
        <bottom style="thin">
          <color indexed="64"/>
        </bottom>
      </border>
    </dxf>
    <dxf>
      <fill>
        <patternFill>
          <bgColor theme="2" tint="-0.249977111117893"/>
        </patternFill>
      </fill>
    </dxf>
    <dxf>
      <font>
        <b/>
      </font>
      <numFmt numFmtId="0" formatCode="General"/>
      <fill>
        <patternFill patternType="solid">
          <fgColor indexed="64"/>
          <bgColor theme="9" tint="0.39997558519241921"/>
        </patternFill>
      </fill>
    </dxf>
    <dxf>
      <font>
        <b/>
      </font>
      <numFmt numFmtId="0" formatCode="General"/>
      <fill>
        <patternFill patternType="solid">
          <fgColor indexed="64"/>
          <bgColor theme="9" tint="0.39997558519241921"/>
        </patternFill>
      </fill>
    </dxf>
    <dxf>
      <font>
        <b/>
      </font>
      <fill>
        <patternFill patternType="solid">
          <fgColor indexed="64"/>
          <bgColor theme="9" tint="0.39997558519241921"/>
        </patternFill>
      </fill>
    </dxf>
    <dxf>
      <font>
        <b/>
      </font>
      <fill>
        <patternFill patternType="solid">
          <fgColor indexed="64"/>
          <bgColor theme="9" tint="0.39997558519241921"/>
        </patternFill>
      </fill>
    </dxf>
    <dxf>
      <fill>
        <patternFill patternType="solid">
          <fgColor indexed="64"/>
          <bgColor theme="9" tint="0.39997558519241921"/>
        </patternFill>
      </fill>
    </dxf>
    <dxf>
      <font>
        <b/>
      </font>
      <fill>
        <patternFill patternType="solid">
          <fgColor indexed="64"/>
          <bgColor theme="9" tint="0.39997558519241921"/>
        </patternFill>
      </fill>
    </dxf>
    <dxf>
      <font>
        <b/>
      </font>
      <fill>
        <patternFill patternType="solid">
          <fgColor indexed="64"/>
          <bgColor theme="9" tint="0.39997558519241921"/>
        </patternFill>
      </fill>
    </dxf>
    <dxf>
      <fill>
        <patternFill patternType="solid">
          <fgColor indexed="64"/>
          <bgColor theme="9" tint="0.39997558519241921"/>
        </patternFill>
      </fill>
    </dxf>
    <dxf>
      <fill>
        <patternFill patternType="solid">
          <fgColor indexed="64"/>
          <bgColor theme="9" tint="0.39997558519241921"/>
        </patternFill>
      </fill>
    </dxf>
    <dxf>
      <fill>
        <patternFill patternType="solid">
          <fgColor indexed="64"/>
          <bgColor theme="9" tint="0.39997558519241921"/>
        </patternFill>
      </fill>
    </dxf>
    <dxf>
      <fill>
        <patternFill patternType="solid">
          <bgColor theme="9" tint="0.39997558519241921"/>
        </patternFill>
      </fill>
    </dxf>
    <dxf>
      <font>
        <b/>
      </font>
    </dxf>
    <dxf>
      <font>
        <b/>
      </font>
    </dxf>
    <dxf>
      <font>
        <b/>
      </font>
    </dxf>
    <dxf>
      <font>
        <b/>
      </font>
    </dxf>
    <dxf>
      <font>
        <b/>
      </font>
    </dxf>
    <dxf>
      <alignment horizontal="center"/>
    </dxf>
    <dxf>
      <alignment horizontal="center"/>
    </dxf>
    <dxf>
      <font>
        <color rgb="FF00B050"/>
      </font>
    </dxf>
    <dxf>
      <font>
        <color rgb="FFEE0000"/>
      </font>
    </dxf>
    <dxf>
      <font>
        <color rgb="FFEE0000"/>
      </font>
    </dxf>
    <dxf>
      <fill>
        <patternFill>
          <fgColor rgb="FF00B0F0"/>
        </patternFill>
      </fill>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fill>
        <patternFill>
          <fgColor rgb="FF3366FF"/>
        </patternFill>
      </fill>
    </dxf>
    <dxf>
      <fill>
        <patternFill>
          <fgColor rgb="FF3366FF"/>
        </patternFill>
      </fill>
    </dxf>
    <dxf>
      <fill>
        <patternFill>
          <fgColor rgb="FF3366FF"/>
        </patternFill>
      </fill>
    </dxf>
    <dxf>
      <fill>
        <patternFill>
          <fgColor rgb="FF3366FF"/>
        </patternFill>
      </fill>
    </dxf>
    <dxf>
      <fill>
        <patternFill>
          <fgColor rgb="FF3366FF"/>
        </patternFill>
      </fill>
    </dxf>
    <dxf>
      <fill>
        <patternFill>
          <fgColor rgb="FF3366FF"/>
        </patternFill>
      </fill>
    </dxf>
    <dxf>
      <fill>
        <patternFill>
          <fgColor rgb="FF3366FF"/>
        </patternFill>
      </fill>
    </dxf>
    <dxf>
      <fill>
        <patternFill>
          <fgColor rgb="FF00B0F0"/>
        </patternFill>
      </fill>
    </dxf>
    <dxf>
      <fill>
        <patternFill>
          <fgColor rgb="FF00B0F0"/>
        </patternFill>
      </fill>
    </dxf>
    <dxf>
      <fill>
        <patternFill>
          <fgColor rgb="FF00B0F0"/>
        </patternFill>
      </fill>
    </dxf>
    <dxf>
      <fill>
        <patternFill>
          <fgColor rgb="FF00B0F0"/>
        </patternFill>
      </fill>
    </dxf>
    <dxf>
      <fill>
        <patternFill>
          <fgColor rgb="FF00B0F0"/>
        </patternFill>
      </fill>
    </dxf>
    <dxf>
      <fill>
        <patternFill>
          <fgColor rgb="FF00B0F0"/>
        </patternFill>
      </fill>
    </dxf>
    <dxf>
      <fill>
        <patternFill>
          <bgColor theme="8" tint="0.39997558519241921"/>
        </patternFill>
      </fill>
    </dxf>
    <dxf>
      <font>
        <b/>
        <color auto="1"/>
      </font>
      <fill>
        <patternFill patternType="solid">
          <fgColor indexed="64"/>
          <bgColor rgb="FF3366FF"/>
        </patternFill>
      </fill>
    </dxf>
    <dxf>
      <font>
        <b/>
        <color auto="1"/>
      </font>
      <fill>
        <patternFill patternType="solid">
          <fgColor indexed="64"/>
          <bgColor rgb="FF3366FF"/>
        </patternFill>
      </fill>
    </dxf>
    <dxf>
      <font>
        <b/>
        <color auto="1"/>
      </font>
      <fill>
        <patternFill patternType="solid">
          <fgColor indexed="64"/>
          <bgColor rgb="FF3366FF"/>
        </patternFill>
      </fill>
    </dxf>
    <dxf>
      <font>
        <b/>
        <color auto="1"/>
      </font>
      <fill>
        <patternFill patternType="solid">
          <fgColor indexed="64"/>
          <bgColor rgb="FF3366FF"/>
        </patternFill>
      </fill>
    </dxf>
    <dxf>
      <font>
        <b/>
        <color auto="1"/>
      </font>
      <fill>
        <patternFill patternType="solid">
          <fgColor indexed="64"/>
          <bgColor rgb="FF3366FF"/>
        </patternFill>
      </fill>
    </dxf>
    <dxf>
      <font>
        <b/>
        <color auto="1"/>
      </font>
      <fill>
        <patternFill patternType="solid">
          <fgColor indexed="64"/>
          <bgColor rgb="FF3366FF"/>
        </patternFill>
      </fill>
    </dxf>
    <dxf>
      <border>
        <left style="thin">
          <color indexed="64"/>
        </left>
        <right style="thin">
          <color indexed="64"/>
        </right>
        <bottom style="thin">
          <color indexed="64"/>
        </bottom>
        <vertical style="thin">
          <color indexed="64"/>
        </vertical>
        <horizontal style="thin">
          <color indexed="64"/>
        </horizontal>
      </border>
    </dxf>
    <dxf>
      <fill>
        <patternFill patternType="solid">
          <bgColor rgb="FF3366FF"/>
        </patternFill>
      </fill>
    </dxf>
    <dxf>
      <font>
        <color auto="1"/>
      </font>
    </dxf>
    <dxf>
      <font>
        <b/>
        <color auto="1"/>
      </font>
      <numFmt numFmtId="0" formatCode="General"/>
      <fill>
        <patternFill patternType="solid">
          <fgColor indexed="64"/>
          <bgColor rgb="FF00B0F0"/>
        </patternFill>
      </fill>
    </dxf>
    <dxf>
      <font>
        <b/>
        <color auto="1"/>
      </font>
      <numFmt numFmtId="0" formatCode="General"/>
      <fill>
        <patternFill patternType="solid">
          <fgColor indexed="64"/>
          <bgColor rgb="FF00B0F0"/>
        </patternFill>
      </fill>
    </dxf>
    <dxf>
      <font>
        <b/>
        <color auto="1"/>
      </font>
      <numFmt numFmtId="0" formatCode="General"/>
      <fill>
        <patternFill patternType="solid">
          <fgColor indexed="64"/>
          <bgColor rgb="FF00B0F0"/>
        </patternFill>
      </fill>
    </dxf>
    <dxf>
      <font>
        <b/>
        <color auto="1"/>
      </font>
      <numFmt numFmtId="0" formatCode="General"/>
      <fill>
        <patternFill patternType="solid">
          <fgColor indexed="64"/>
          <bgColor rgb="FF00B0F0"/>
        </patternFill>
      </fill>
    </dxf>
    <dxf>
      <font>
        <b/>
        <color auto="1"/>
      </font>
      <numFmt numFmtId="0" formatCode="General"/>
      <fill>
        <patternFill patternType="solid">
          <fgColor indexed="64"/>
          <bgColor rgb="FF00B0F0"/>
        </patternFill>
      </fill>
    </dxf>
    <dxf>
      <font>
        <b/>
        <color auto="1"/>
      </font>
      <numFmt numFmtId="0" formatCode="General"/>
      <fill>
        <patternFill patternType="solid">
          <fgColor indexed="64"/>
          <bgColor rgb="FF00B0F0"/>
        </patternFill>
      </fill>
    </dxf>
    <dxf>
      <font>
        <b/>
        <color auto="1"/>
      </font>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ont>
        <b/>
        <color auto="1"/>
      </font>
      <fill>
        <patternFill patternType="solid">
          <fgColor indexed="64"/>
          <bgColor rgb="FF00B0F0"/>
        </patternFill>
      </fill>
      <alignment horizontal="center"/>
    </dxf>
    <dxf>
      <font>
        <b/>
        <color auto="1"/>
      </font>
      <fill>
        <patternFill patternType="solid">
          <fgColor indexed="64"/>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color auto="1"/>
      </font>
    </dxf>
    <dxf>
      <fill>
        <patternFill patternType="solid">
          <bgColor rgb="FF00B0F0"/>
        </patternFill>
      </fill>
    </dxf>
    <dxf>
      <font>
        <b/>
      </font>
    </dxf>
    <dxf>
      <alignment horizontal="center" indent="0"/>
    </dxf>
    <dxf>
      <alignment horizontal="center" inden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color rgb="FF008000"/>
      </font>
    </dxf>
    <dxf>
      <font>
        <color rgb="FF008000"/>
      </font>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166" formatCode="&quot;₹&quot;\ #,##0.00"/>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numFmt numFmtId="0" formatCode="General"/>
      <fill>
        <patternFill patternType="solid">
          <fgColor indexed="64"/>
          <bgColor rgb="FFFF0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00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fill>
        <patternFill patternType="solid">
          <fgColor indexed="64"/>
          <bgColor rgb="FFFF6600"/>
        </patternFill>
      </fill>
    </dxf>
    <dxf>
      <border>
        <left style="thin">
          <color indexed="64"/>
        </left>
        <right style="thin">
          <color indexed="64"/>
        </right>
        <bottom style="thin">
          <color indexed="64"/>
        </bottom>
        <vertical style="thin">
          <color indexed="64"/>
        </vertical>
        <horizontal style="thin">
          <color indexed="64"/>
        </horizontal>
      </border>
    </dxf>
    <dxf>
      <fill>
        <patternFill patternType="solid">
          <bgColor rgb="FFFF6600"/>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fill>
        <patternFill patternType="solid">
          <fgColor indexed="64"/>
          <bgColor rgb="FFFF993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9933"/>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ont>
        <color auto="1"/>
      </font>
    </dxf>
    <dxf>
      <font>
        <color auto="1"/>
      </font>
    </dxf>
    <dxf>
      <font>
        <color auto="1"/>
      </font>
    </dxf>
    <dxf>
      <font>
        <color auto="1"/>
      </font>
    </dxf>
    <dxf>
      <fill>
        <patternFill>
          <bgColor rgb="FF00B050"/>
        </patternFill>
      </fill>
    </dxf>
    <dxf>
      <alignment horizontal="center"/>
    </dxf>
    <dxf>
      <alignment horizontal="center"/>
    </dxf>
    <dxf>
      <alignment horizontal="center"/>
    </dxf>
    <dxf>
      <alignment horizontal="center"/>
    </dxf>
    <dxf>
      <alignment horizontal="center"/>
    </dxf>
    <dxf>
      <alignment horizontal="center"/>
    </dxf>
    <dxf>
      <numFmt numFmtId="166" formatCode="&quot;₹&quot;\ #,##0.00"/>
    </dxf>
    <dxf>
      <numFmt numFmtId="0" formatCode="General"/>
      <fill>
        <patternFill>
          <fgColor rgb="FF00B050"/>
        </patternFill>
      </fill>
      <alignment horizontal="left"/>
    </dxf>
    <dxf>
      <fill>
        <patternFill>
          <bgColor rgb="FF00B050"/>
        </patternFill>
      </fill>
    </dxf>
    <dxf>
      <fill>
        <patternFill patternType="solid">
          <bgColor rgb="FF99FF99"/>
        </patternFill>
      </fill>
    </dxf>
    <dxf>
      <fill>
        <patternFill patternType="solid">
          <bgColor rgb="FF99FF99"/>
        </patternFill>
      </fill>
    </dxf>
    <dxf>
      <fill>
        <patternFill patternType="solid">
          <bgColor rgb="FF99FF99"/>
        </patternFill>
      </fill>
    </dxf>
    <dxf>
      <numFmt numFmtId="166" formatCode="&quot;₹&quot;\ #,##0.00"/>
    </dxf>
    <dxf>
      <numFmt numFmtId="166" formatCode="&quot;₹&quot;\ #,##0.00"/>
    </dxf>
    <dxf>
      <numFmt numFmtId="166" formatCode="&quot;₹&quot;\ #,##0.00"/>
    </dxf>
    <dxf>
      <numFmt numFmtId="166" formatCode="&quot;₹&quot;\ #,##0.00"/>
    </dxf>
    <dxf>
      <numFmt numFmtId="166" formatCode="&quot;₹&quot;\ #,##0.00"/>
    </dxf>
    <dxf>
      <border>
        <right style="thin">
          <color indexed="64"/>
        </right>
      </border>
    </dxf>
    <dxf>
      <border>
        <right style="thin">
          <color indexed="64"/>
        </right>
      </border>
    </dxf>
    <dxf>
      <numFmt numFmtId="0" formatCode="General"/>
    </dxf>
    <dxf>
      <border>
        <bottom style="thin">
          <color indexed="64"/>
        </bottom>
      </border>
    </dxf>
    <dxf>
      <numFmt numFmtId="166" formatCode="&quot;₹&quot;\ #,##0.00"/>
    </dxf>
    <dxf>
      <numFmt numFmtId="0" formatCode="General"/>
      <fill>
        <patternFill patternType="solid">
          <fgColor indexed="64"/>
          <bgColor rgb="FFDE3E49"/>
        </patternFill>
      </fill>
    </dxf>
    <dxf>
      <border>
        <left style="thin">
          <color indexed="64"/>
        </left>
        <right style="thin">
          <color indexed="64"/>
        </right>
        <top style="thin">
          <color indexed="64"/>
        </top>
        <bottom style="thin">
          <color indexed="64"/>
        </bottom>
      </border>
    </dxf>
    <dxf>
      <fill>
        <patternFill patternType="solid">
          <bgColor rgb="FFDE3E49"/>
        </patternFill>
      </fill>
    </dxf>
    <dxf>
      <alignment horizontal="center"/>
    </dxf>
    <dxf>
      <alignment horizontal="center"/>
    </dxf>
    <dxf>
      <alignment horizontal="center"/>
    </dxf>
    <dxf>
      <alignment horizontal="center"/>
    </dxf>
    <dxf>
      <alignment horizontal="center"/>
    </dxf>
    <dxf>
      <alignment horizontal="center"/>
    </dxf>
    <dxf>
      <fill>
        <patternFill patternType="solid">
          <fgColor indexed="64"/>
          <bgColor rgb="FFEE0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EE0000"/>
        </patternFill>
      </fill>
    </dxf>
  </dxfs>
  <tableStyles count="0" defaultTableStyle="TableStyleMedium2" defaultPivotStyle="PivotStyleLight16"/>
  <colors>
    <mruColors>
      <color rgb="FF89CFF0"/>
      <color rgb="FF62D862"/>
      <color rgb="FF84FF47"/>
      <color rgb="FF99FF99"/>
      <color rgb="FFFFAFFF"/>
      <color rgb="FF69B6D5"/>
      <color rgb="FFFF9BFF"/>
      <color rgb="FFFF0000"/>
      <color rgb="FF017B92"/>
      <color rgb="FF007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[PersonalExpenseTracker.xlsm]Pivot_MonthlySummary!ptMonthlySummary</c:name>
    <c:fmtId val="1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b="1">
                <a:solidFill>
                  <a:schemeClr val="bg2">
                    <a:lumMod val="25000"/>
                  </a:schemeClr>
                </a:solidFill>
                <a:latin typeface="+mn-lt"/>
              </a:rPr>
              <a:t>Monthly Trend: Income vs Expense</a:t>
            </a:r>
          </a:p>
        </c:rich>
      </c:tx>
      <c:layout>
        <c:manualLayout>
          <c:xMode val="edge"/>
          <c:yMode val="edge"/>
          <c:x val="0.21060411198600176"/>
          <c:y val="4.9905220180810735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FF0000"/>
            </a:solidFill>
            <a:round/>
          </a:ln>
          <a:effectLst/>
        </c:spPr>
        <c:marker>
          <c:symbol val="circle"/>
          <c:size val="5"/>
          <c:spPr>
            <a:solidFill>
              <a:srgbClr val="FF0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50"/>
            </a:solidFill>
            <a:round/>
          </a:ln>
          <a:effectLst/>
        </c:spPr>
        <c:marker>
          <c:symbol val="circle"/>
          <c:size val="5"/>
          <c:spPr>
            <a:solidFill>
              <a:schemeClr val="accent6">
                <a:lumMod val="50000"/>
              </a:schemeClr>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circle"/>
          <c:size val="5"/>
          <c:spPr>
            <a:solidFill>
              <a:srgbClr val="FF0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B050"/>
            </a:solidFill>
            <a:round/>
          </a:ln>
          <a:effectLst/>
        </c:spPr>
        <c:marker>
          <c:symbol val="circle"/>
          <c:size val="5"/>
          <c:spPr>
            <a:solidFill>
              <a:schemeClr val="accent6">
                <a:lumMod val="50000"/>
              </a:schemeClr>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circle"/>
          <c:size val="5"/>
          <c:spPr>
            <a:solidFill>
              <a:srgbClr val="FF0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00B050"/>
            </a:solidFill>
            <a:round/>
          </a:ln>
          <a:effectLst/>
        </c:spPr>
        <c:marker>
          <c:symbol val="circle"/>
          <c:size val="5"/>
          <c:spPr>
            <a:solidFill>
              <a:schemeClr val="accent6">
                <a:lumMod val="50000"/>
              </a:schemeClr>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Pivot_MonthlySummary!$C$3:$C$4</c:f>
              <c:strCache>
                <c:ptCount val="1"/>
                <c:pt idx="0">
                  <c:v>Expense</c:v>
                </c:pt>
              </c:strCache>
            </c:strRef>
          </c:tx>
          <c:spPr>
            <a:ln w="28575" cap="rnd">
              <a:solidFill>
                <a:srgbClr val="FF0000"/>
              </a:solidFill>
              <a:round/>
            </a:ln>
            <a:effectLst/>
          </c:spPr>
          <c:marker>
            <c:symbol val="circle"/>
            <c:size val="5"/>
            <c:spPr>
              <a:solidFill>
                <a:srgbClr val="FF0000"/>
              </a:solidFill>
              <a:ln w="9525">
                <a:solidFill>
                  <a:schemeClr val="accent1"/>
                </a:solidFill>
              </a:ln>
              <a:effectLst/>
            </c:spPr>
          </c:marker>
          <c:cat>
            <c:multiLvlStrRef>
              <c:f>Pivot_MonthlySummary!$A$5:$B$11</c:f>
              <c:multiLvlStrCache>
                <c:ptCount val="6"/>
                <c:lvl>
                  <c:pt idx="0">
                    <c:v>Jan</c:v>
                  </c:pt>
                  <c:pt idx="1">
                    <c:v>Feb</c:v>
                  </c:pt>
                  <c:pt idx="2">
                    <c:v>Mar</c:v>
                  </c:pt>
                  <c:pt idx="3">
                    <c:v>Apr</c:v>
                  </c:pt>
                  <c:pt idx="4">
                    <c:v>May</c:v>
                  </c:pt>
                  <c:pt idx="5">
                    <c:v>Jun</c:v>
                  </c:pt>
                </c:lvl>
                <c:lvl>
                  <c:pt idx="0">
                    <c:v>2025</c:v>
                  </c:pt>
                </c:lvl>
              </c:multiLvlStrCache>
            </c:multiLvlStrRef>
          </c:cat>
          <c:val>
            <c:numRef>
              <c:f>Pivot_MonthlySummary!$C$5:$C$11</c:f>
              <c:numCache>
                <c:formatCode>"₹"\ #,##0.00</c:formatCode>
                <c:ptCount val="6"/>
                <c:pt idx="0">
                  <c:v>330551</c:v>
                </c:pt>
                <c:pt idx="1">
                  <c:v>482085</c:v>
                </c:pt>
                <c:pt idx="2">
                  <c:v>351649</c:v>
                </c:pt>
                <c:pt idx="3">
                  <c:v>462661</c:v>
                </c:pt>
                <c:pt idx="4">
                  <c:v>374712</c:v>
                </c:pt>
                <c:pt idx="5">
                  <c:v>486210</c:v>
                </c:pt>
              </c:numCache>
            </c:numRef>
          </c:val>
          <c:smooth val="0"/>
          <c:extLst>
            <c:ext xmlns:c16="http://schemas.microsoft.com/office/drawing/2014/chart" uri="{C3380CC4-5D6E-409C-BE32-E72D297353CC}">
              <c16:uniqueId val="{00000000-02CD-4100-AAA0-A9353287F2A8}"/>
            </c:ext>
          </c:extLst>
        </c:ser>
        <c:ser>
          <c:idx val="1"/>
          <c:order val="1"/>
          <c:tx>
            <c:strRef>
              <c:f>Pivot_MonthlySummary!$D$3:$D$4</c:f>
              <c:strCache>
                <c:ptCount val="1"/>
                <c:pt idx="0">
                  <c:v>Income</c:v>
                </c:pt>
              </c:strCache>
            </c:strRef>
          </c:tx>
          <c:spPr>
            <a:ln w="28575" cap="rnd">
              <a:solidFill>
                <a:srgbClr val="00B050"/>
              </a:solidFill>
              <a:round/>
            </a:ln>
            <a:effectLst/>
          </c:spPr>
          <c:marker>
            <c:symbol val="circle"/>
            <c:size val="5"/>
            <c:spPr>
              <a:solidFill>
                <a:schemeClr val="accent6">
                  <a:lumMod val="50000"/>
                </a:schemeClr>
              </a:solidFill>
              <a:ln w="9525">
                <a:solidFill>
                  <a:schemeClr val="accent2"/>
                </a:solidFill>
              </a:ln>
              <a:effectLst/>
            </c:spPr>
          </c:marker>
          <c:cat>
            <c:multiLvlStrRef>
              <c:f>Pivot_MonthlySummary!$A$5:$B$11</c:f>
              <c:multiLvlStrCache>
                <c:ptCount val="6"/>
                <c:lvl>
                  <c:pt idx="0">
                    <c:v>Jan</c:v>
                  </c:pt>
                  <c:pt idx="1">
                    <c:v>Feb</c:v>
                  </c:pt>
                  <c:pt idx="2">
                    <c:v>Mar</c:v>
                  </c:pt>
                  <c:pt idx="3">
                    <c:v>Apr</c:v>
                  </c:pt>
                  <c:pt idx="4">
                    <c:v>May</c:v>
                  </c:pt>
                  <c:pt idx="5">
                    <c:v>Jun</c:v>
                  </c:pt>
                </c:lvl>
                <c:lvl>
                  <c:pt idx="0">
                    <c:v>2025</c:v>
                  </c:pt>
                </c:lvl>
              </c:multiLvlStrCache>
            </c:multiLvlStrRef>
          </c:cat>
          <c:val>
            <c:numRef>
              <c:f>Pivot_MonthlySummary!$D$5:$D$11</c:f>
              <c:numCache>
                <c:formatCode>"₹"\ #,##0.00</c:formatCode>
                <c:ptCount val="6"/>
                <c:pt idx="0">
                  <c:v>606695</c:v>
                </c:pt>
                <c:pt idx="1">
                  <c:v>394295</c:v>
                </c:pt>
                <c:pt idx="2">
                  <c:v>454591</c:v>
                </c:pt>
                <c:pt idx="3">
                  <c:v>475543</c:v>
                </c:pt>
                <c:pt idx="4">
                  <c:v>345610</c:v>
                </c:pt>
                <c:pt idx="5">
                  <c:v>362695</c:v>
                </c:pt>
              </c:numCache>
            </c:numRef>
          </c:val>
          <c:smooth val="0"/>
          <c:extLst>
            <c:ext xmlns:c16="http://schemas.microsoft.com/office/drawing/2014/chart" uri="{C3380CC4-5D6E-409C-BE32-E72D297353CC}">
              <c16:uniqueId val="{00000001-5628-4CD9-A5D1-5AEDF0C6DC30}"/>
            </c:ext>
          </c:extLst>
        </c:ser>
        <c:dLbls>
          <c:showLegendKey val="0"/>
          <c:showVal val="0"/>
          <c:showCatName val="0"/>
          <c:showSerName val="0"/>
          <c:showPercent val="0"/>
          <c:showBubbleSize val="0"/>
        </c:dLbls>
        <c:marker val="1"/>
        <c:smooth val="0"/>
        <c:axId val="1486134991"/>
        <c:axId val="1486120591"/>
      </c:lineChart>
      <c:catAx>
        <c:axId val="1486134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86120591"/>
        <c:crosses val="autoZero"/>
        <c:auto val="1"/>
        <c:lblAlgn val="ctr"/>
        <c:lblOffset val="100"/>
        <c:noMultiLvlLbl val="0"/>
      </c:catAx>
      <c:valAx>
        <c:axId val="148612059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86134991"/>
        <c:crosses val="autoZero"/>
        <c:crossBetween val="between"/>
      </c:valAx>
      <c:spPr>
        <a:noFill/>
        <a:ln>
          <a:noFill/>
        </a:ln>
        <a:effectLst/>
      </c:spPr>
    </c:plotArea>
    <c:legend>
      <c:legendPos val="r"/>
      <c:layout>
        <c:manualLayout>
          <c:xMode val="edge"/>
          <c:yMode val="edge"/>
          <c:x val="0.78545822397200349"/>
          <c:y val="0.35263815981335661"/>
          <c:w val="0.17831568789247704"/>
          <c:h val="0.21226563660674494"/>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AFFF"/>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[PersonalExpenseTracker.xlsm]Pivot_IncomebyCategory!Pivot_IncomebyCategory</c:name>
    <c:fmtId val="1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sz="1400">
                <a:solidFill>
                  <a:schemeClr val="tx1">
                    <a:lumMod val="85000"/>
                    <a:lumOff val="15000"/>
                  </a:schemeClr>
                </a:solidFill>
              </a:rPr>
              <a:t>Income by Category</a:t>
            </a:r>
          </a:p>
        </c:rich>
      </c:tx>
      <c:layout>
        <c:manualLayout>
          <c:xMode val="edge"/>
          <c:yMode val="edge"/>
          <c:x val="0.26815114709851551"/>
          <c:y val="4.337050805452292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Pivot_IncomebyCategory!$B$3:$B$4</c:f>
              <c:strCache>
                <c:ptCount val="1"/>
                <c:pt idx="0">
                  <c:v>Freelance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Pivot_IncomebyCategory!$A$5:$A$11</c:f>
              <c:strCache>
                <c:ptCount val="6"/>
                <c:pt idx="0">
                  <c:v>Jan</c:v>
                </c:pt>
                <c:pt idx="1">
                  <c:v>Feb</c:v>
                </c:pt>
                <c:pt idx="2">
                  <c:v>Mar</c:v>
                </c:pt>
                <c:pt idx="3">
                  <c:v>Apr</c:v>
                </c:pt>
                <c:pt idx="4">
                  <c:v>May</c:v>
                </c:pt>
                <c:pt idx="5">
                  <c:v>Jun</c:v>
                </c:pt>
              </c:strCache>
            </c:strRef>
          </c:cat>
          <c:val>
            <c:numRef>
              <c:f>Pivot_IncomebyCategory!$B$5:$B$11</c:f>
              <c:numCache>
                <c:formatCode>"₹"\ #,##0.00</c:formatCode>
                <c:ptCount val="6"/>
                <c:pt idx="0">
                  <c:v>209624</c:v>
                </c:pt>
                <c:pt idx="2">
                  <c:v>102756</c:v>
                </c:pt>
                <c:pt idx="3">
                  <c:v>40589</c:v>
                </c:pt>
                <c:pt idx="4">
                  <c:v>91234</c:v>
                </c:pt>
                <c:pt idx="5">
                  <c:v>58401</c:v>
                </c:pt>
              </c:numCache>
            </c:numRef>
          </c:val>
          <c:extLst>
            <c:ext xmlns:c16="http://schemas.microsoft.com/office/drawing/2014/chart" uri="{C3380CC4-5D6E-409C-BE32-E72D297353CC}">
              <c16:uniqueId val="{00000000-756F-4F6F-A596-7B1FDC79F5AC}"/>
            </c:ext>
          </c:extLst>
        </c:ser>
        <c:ser>
          <c:idx val="1"/>
          <c:order val="1"/>
          <c:tx>
            <c:strRef>
              <c:f>Pivot_IncomebyCategory!$C$3:$C$4</c:f>
              <c:strCache>
                <c:ptCount val="1"/>
                <c:pt idx="0">
                  <c:v>Investments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Pivot_IncomebyCategory!$A$5:$A$11</c:f>
              <c:strCache>
                <c:ptCount val="6"/>
                <c:pt idx="0">
                  <c:v>Jan</c:v>
                </c:pt>
                <c:pt idx="1">
                  <c:v>Feb</c:v>
                </c:pt>
                <c:pt idx="2">
                  <c:v>Mar</c:v>
                </c:pt>
                <c:pt idx="3">
                  <c:v>Apr</c:v>
                </c:pt>
                <c:pt idx="4">
                  <c:v>May</c:v>
                </c:pt>
                <c:pt idx="5">
                  <c:v>Jun</c:v>
                </c:pt>
              </c:strCache>
            </c:strRef>
          </c:cat>
          <c:val>
            <c:numRef>
              <c:f>Pivot_IncomebyCategory!$C$5:$C$11</c:f>
              <c:numCache>
                <c:formatCode>"₹"\ #,##0.00</c:formatCode>
                <c:ptCount val="6"/>
                <c:pt idx="0">
                  <c:v>208315</c:v>
                </c:pt>
                <c:pt idx="1">
                  <c:v>178959</c:v>
                </c:pt>
                <c:pt idx="2">
                  <c:v>8366</c:v>
                </c:pt>
                <c:pt idx="3">
                  <c:v>286540</c:v>
                </c:pt>
                <c:pt idx="5">
                  <c:v>78644</c:v>
                </c:pt>
              </c:numCache>
            </c:numRef>
          </c:val>
          <c:extLst>
            <c:ext xmlns:c16="http://schemas.microsoft.com/office/drawing/2014/chart" uri="{C3380CC4-5D6E-409C-BE32-E72D297353CC}">
              <c16:uniqueId val="{00000001-756F-4F6F-A596-7B1FDC79F5AC}"/>
            </c:ext>
          </c:extLst>
        </c:ser>
        <c:ser>
          <c:idx val="2"/>
          <c:order val="2"/>
          <c:tx>
            <c:strRef>
              <c:f>Pivot_IncomebyCategory!$D$3:$D$4</c:f>
              <c:strCache>
                <c:ptCount val="1"/>
                <c:pt idx="0">
                  <c:v>Other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Pivot_IncomebyCategory!$A$5:$A$11</c:f>
              <c:strCache>
                <c:ptCount val="6"/>
                <c:pt idx="0">
                  <c:v>Jan</c:v>
                </c:pt>
                <c:pt idx="1">
                  <c:v>Feb</c:v>
                </c:pt>
                <c:pt idx="2">
                  <c:v>Mar</c:v>
                </c:pt>
                <c:pt idx="3">
                  <c:v>Apr</c:v>
                </c:pt>
                <c:pt idx="4">
                  <c:v>May</c:v>
                </c:pt>
                <c:pt idx="5">
                  <c:v>Jun</c:v>
                </c:pt>
              </c:strCache>
            </c:strRef>
          </c:cat>
          <c:val>
            <c:numRef>
              <c:f>Pivot_IncomebyCategory!$D$5:$D$11</c:f>
              <c:numCache>
                <c:formatCode>"₹"\ #,##0.00</c:formatCode>
                <c:ptCount val="6"/>
                <c:pt idx="0">
                  <c:v>40990</c:v>
                </c:pt>
                <c:pt idx="1">
                  <c:v>100153</c:v>
                </c:pt>
                <c:pt idx="2">
                  <c:v>88225</c:v>
                </c:pt>
                <c:pt idx="4">
                  <c:v>80905</c:v>
                </c:pt>
                <c:pt idx="5">
                  <c:v>84593</c:v>
                </c:pt>
              </c:numCache>
            </c:numRef>
          </c:val>
          <c:extLst>
            <c:ext xmlns:c16="http://schemas.microsoft.com/office/drawing/2014/chart" uri="{C3380CC4-5D6E-409C-BE32-E72D297353CC}">
              <c16:uniqueId val="{00000002-756F-4F6F-A596-7B1FDC79F5AC}"/>
            </c:ext>
          </c:extLst>
        </c:ser>
        <c:ser>
          <c:idx val="3"/>
          <c:order val="3"/>
          <c:tx>
            <c:strRef>
              <c:f>Pivot_IncomebyCategory!$E$3:$E$4</c:f>
              <c:strCache>
                <c:ptCount val="1"/>
                <c:pt idx="0">
                  <c:v>Passive Income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Pivot_IncomebyCategory!$A$5:$A$11</c:f>
              <c:strCache>
                <c:ptCount val="6"/>
                <c:pt idx="0">
                  <c:v>Jan</c:v>
                </c:pt>
                <c:pt idx="1">
                  <c:v>Feb</c:v>
                </c:pt>
                <c:pt idx="2">
                  <c:v>Mar</c:v>
                </c:pt>
                <c:pt idx="3">
                  <c:v>Apr</c:v>
                </c:pt>
                <c:pt idx="4">
                  <c:v>May</c:v>
                </c:pt>
                <c:pt idx="5">
                  <c:v>Jun</c:v>
                </c:pt>
              </c:strCache>
            </c:strRef>
          </c:cat>
          <c:val>
            <c:numRef>
              <c:f>Pivot_IncomebyCategory!$E$5:$E$11</c:f>
              <c:numCache>
                <c:formatCode>"₹"\ #,##0.00</c:formatCode>
                <c:ptCount val="6"/>
                <c:pt idx="0">
                  <c:v>121260</c:v>
                </c:pt>
                <c:pt idx="1">
                  <c:v>115183</c:v>
                </c:pt>
                <c:pt idx="2">
                  <c:v>108567</c:v>
                </c:pt>
                <c:pt idx="3">
                  <c:v>121373</c:v>
                </c:pt>
                <c:pt idx="4">
                  <c:v>161200</c:v>
                </c:pt>
                <c:pt idx="5">
                  <c:v>89929</c:v>
                </c:pt>
              </c:numCache>
            </c:numRef>
          </c:val>
          <c:extLst>
            <c:ext xmlns:c16="http://schemas.microsoft.com/office/drawing/2014/chart" uri="{C3380CC4-5D6E-409C-BE32-E72D297353CC}">
              <c16:uniqueId val="{00000003-756F-4F6F-A596-7B1FDC79F5AC}"/>
            </c:ext>
          </c:extLst>
        </c:ser>
        <c:ser>
          <c:idx val="4"/>
          <c:order val="4"/>
          <c:tx>
            <c:strRef>
              <c:f>Pivot_IncomebyCategory!$F$3:$F$4</c:f>
              <c:strCache>
                <c:ptCount val="1"/>
                <c:pt idx="0">
                  <c:v>Salary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Pivot_IncomebyCategory!$A$5:$A$11</c:f>
              <c:strCache>
                <c:ptCount val="6"/>
                <c:pt idx="0">
                  <c:v>Jan</c:v>
                </c:pt>
                <c:pt idx="1">
                  <c:v>Feb</c:v>
                </c:pt>
                <c:pt idx="2">
                  <c:v>Mar</c:v>
                </c:pt>
                <c:pt idx="3">
                  <c:v>Apr</c:v>
                </c:pt>
                <c:pt idx="4">
                  <c:v>May</c:v>
                </c:pt>
                <c:pt idx="5">
                  <c:v>Jun</c:v>
                </c:pt>
              </c:strCache>
            </c:strRef>
          </c:cat>
          <c:val>
            <c:numRef>
              <c:f>Pivot_IncomebyCategory!$F$5:$F$11</c:f>
              <c:numCache>
                <c:formatCode>"₹"\ #,##0.00</c:formatCode>
                <c:ptCount val="6"/>
                <c:pt idx="0">
                  <c:v>26506</c:v>
                </c:pt>
                <c:pt idx="2">
                  <c:v>146677</c:v>
                </c:pt>
                <c:pt idx="3">
                  <c:v>27041</c:v>
                </c:pt>
                <c:pt idx="4">
                  <c:v>12271</c:v>
                </c:pt>
                <c:pt idx="5">
                  <c:v>51128</c:v>
                </c:pt>
              </c:numCache>
            </c:numRef>
          </c:val>
          <c:extLst>
            <c:ext xmlns:c16="http://schemas.microsoft.com/office/drawing/2014/chart" uri="{C3380CC4-5D6E-409C-BE32-E72D297353CC}">
              <c16:uniqueId val="{00000004-756F-4F6F-A596-7B1FDC79F5AC}"/>
            </c:ext>
          </c:extLst>
        </c:ser>
        <c:dLbls>
          <c:showLegendKey val="0"/>
          <c:showVal val="0"/>
          <c:showCatName val="0"/>
          <c:showSerName val="0"/>
          <c:showPercent val="0"/>
          <c:showBubbleSize val="0"/>
        </c:dLbls>
        <c:gapWidth val="150"/>
        <c:shape val="box"/>
        <c:axId val="953847696"/>
        <c:axId val="953843376"/>
        <c:axId val="0"/>
      </c:bar3DChart>
      <c:catAx>
        <c:axId val="95384769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53843376"/>
        <c:crosses val="autoZero"/>
        <c:auto val="1"/>
        <c:lblAlgn val="ctr"/>
        <c:lblOffset val="100"/>
        <c:noMultiLvlLbl val="0"/>
      </c:catAx>
      <c:valAx>
        <c:axId val="9538433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53847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60000"/>
        <a:lumOff val="40000"/>
      </a:schemeClr>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[PersonalExpenseTracker.xlsm]Pivot_ExpensebyCategory!Pivot_ExpensebyCategory</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lumMod val="85000"/>
                    <a:lumOff val="15000"/>
                  </a:schemeClr>
                </a:solidFill>
              </a:rPr>
              <a:t>Expense</a:t>
            </a:r>
            <a:r>
              <a:rPr lang="en-IN" b="1" baseline="0">
                <a:solidFill>
                  <a:schemeClr val="tx1">
                    <a:lumMod val="85000"/>
                    <a:lumOff val="15000"/>
                  </a:schemeClr>
                </a:solidFill>
              </a:rPr>
              <a:t> by Category</a:t>
            </a:r>
            <a:endParaRPr lang="en-IN" b="1">
              <a:solidFill>
                <a:schemeClr val="tx1">
                  <a:lumMod val="85000"/>
                  <a:lumOff val="1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Pivot_ExpensebyCategory!$B$3:$B$4</c:f>
              <c:strCache>
                <c:ptCount val="1"/>
                <c:pt idx="0">
                  <c:v>Care</c:v>
                </c:pt>
              </c:strCache>
            </c:strRef>
          </c:tx>
          <c:spPr>
            <a:solidFill>
              <a:schemeClr val="accent1"/>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Pivot_ExpensebyCategory!$B$5:$B$12</c:f>
              <c:numCache>
                <c:formatCode>"₹"\ #,##0.00</c:formatCode>
                <c:ptCount val="6"/>
                <c:pt idx="0">
                  <c:v>61495</c:v>
                </c:pt>
                <c:pt idx="1">
                  <c:v>38389</c:v>
                </c:pt>
                <c:pt idx="2">
                  <c:v>6264</c:v>
                </c:pt>
                <c:pt idx="3">
                  <c:v>39410</c:v>
                </c:pt>
                <c:pt idx="4">
                  <c:v>16351</c:v>
                </c:pt>
                <c:pt idx="5">
                  <c:v>70750</c:v>
                </c:pt>
              </c:numCache>
            </c:numRef>
          </c:val>
          <c:extLst>
            <c:ext xmlns:c16="http://schemas.microsoft.com/office/drawing/2014/chart" uri="{C3380CC4-5D6E-409C-BE32-E72D297353CC}">
              <c16:uniqueId val="{00000000-BF09-4546-8EA3-1197FD06329D}"/>
            </c:ext>
          </c:extLst>
        </c:ser>
        <c:ser>
          <c:idx val="1"/>
          <c:order val="1"/>
          <c:tx>
            <c:strRef>
              <c:f>Pivot_ExpensebyCategory!$C$3:$C$4</c:f>
              <c:strCache>
                <c:ptCount val="1"/>
                <c:pt idx="0">
                  <c:v>Debts</c:v>
                </c:pt>
              </c:strCache>
            </c:strRef>
          </c:tx>
          <c:spPr>
            <a:solidFill>
              <a:schemeClr val="accent2"/>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Pivot_ExpensebyCategory!$C$5:$C$12</c:f>
              <c:numCache>
                <c:formatCode>"₹"\ #,##0.00</c:formatCode>
                <c:ptCount val="6"/>
                <c:pt idx="0">
                  <c:v>16129</c:v>
                </c:pt>
                <c:pt idx="1">
                  <c:v>17652</c:v>
                </c:pt>
                <c:pt idx="2">
                  <c:v>42255</c:v>
                </c:pt>
                <c:pt idx="3">
                  <c:v>47360</c:v>
                </c:pt>
                <c:pt idx="4">
                  <c:v>46200</c:v>
                </c:pt>
                <c:pt idx="5">
                  <c:v>33394</c:v>
                </c:pt>
              </c:numCache>
            </c:numRef>
          </c:val>
          <c:extLst>
            <c:ext xmlns:c16="http://schemas.microsoft.com/office/drawing/2014/chart" uri="{C3380CC4-5D6E-409C-BE32-E72D297353CC}">
              <c16:uniqueId val="{00000001-BF09-4546-8EA3-1197FD06329D}"/>
            </c:ext>
          </c:extLst>
        </c:ser>
        <c:ser>
          <c:idx val="2"/>
          <c:order val="2"/>
          <c:tx>
            <c:strRef>
              <c:f>Pivot_ExpensebyCategory!$D$3:$D$4</c:f>
              <c:strCache>
                <c:ptCount val="1"/>
                <c:pt idx="0">
                  <c:v>Education</c:v>
                </c:pt>
              </c:strCache>
            </c:strRef>
          </c:tx>
          <c:spPr>
            <a:solidFill>
              <a:schemeClr val="accent3"/>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Pivot_ExpensebyCategory!$D$5:$D$12</c:f>
              <c:numCache>
                <c:formatCode>"₹"\ #,##0.00</c:formatCode>
                <c:ptCount val="6"/>
                <c:pt idx="0">
                  <c:v>7086</c:v>
                </c:pt>
                <c:pt idx="1">
                  <c:v>23998</c:v>
                </c:pt>
                <c:pt idx="2">
                  <c:v>32487</c:v>
                </c:pt>
                <c:pt idx="3">
                  <c:v>42036</c:v>
                </c:pt>
                <c:pt idx="4">
                  <c:v>15320</c:v>
                </c:pt>
                <c:pt idx="5">
                  <c:v>36561</c:v>
                </c:pt>
              </c:numCache>
            </c:numRef>
          </c:val>
          <c:extLst>
            <c:ext xmlns:c16="http://schemas.microsoft.com/office/drawing/2014/chart" uri="{C3380CC4-5D6E-409C-BE32-E72D297353CC}">
              <c16:uniqueId val="{00000002-BF09-4546-8EA3-1197FD06329D}"/>
            </c:ext>
          </c:extLst>
        </c:ser>
        <c:ser>
          <c:idx val="3"/>
          <c:order val="3"/>
          <c:tx>
            <c:strRef>
              <c:f>Pivot_ExpensebyCategory!$E$3:$E$4</c:f>
              <c:strCache>
                <c:ptCount val="1"/>
                <c:pt idx="0">
                  <c:v>Entertainment</c:v>
                </c:pt>
              </c:strCache>
            </c:strRef>
          </c:tx>
          <c:spPr>
            <a:solidFill>
              <a:schemeClr val="accent4"/>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Pivot_ExpensebyCategory!$E$5:$E$12</c:f>
              <c:numCache>
                <c:formatCode>"₹"\ #,##0.00</c:formatCode>
                <c:ptCount val="6"/>
                <c:pt idx="0">
                  <c:v>7236</c:v>
                </c:pt>
                <c:pt idx="1">
                  <c:v>25084</c:v>
                </c:pt>
                <c:pt idx="2">
                  <c:v>21242</c:v>
                </c:pt>
                <c:pt idx="3">
                  <c:v>19162</c:v>
                </c:pt>
                <c:pt idx="4">
                  <c:v>36414</c:v>
                </c:pt>
                <c:pt idx="5">
                  <c:v>51065</c:v>
                </c:pt>
              </c:numCache>
            </c:numRef>
          </c:val>
          <c:extLst>
            <c:ext xmlns:c16="http://schemas.microsoft.com/office/drawing/2014/chart" uri="{C3380CC4-5D6E-409C-BE32-E72D297353CC}">
              <c16:uniqueId val="{00000003-BF09-4546-8EA3-1197FD06329D}"/>
            </c:ext>
          </c:extLst>
        </c:ser>
        <c:ser>
          <c:idx val="4"/>
          <c:order val="4"/>
          <c:tx>
            <c:strRef>
              <c:f>Pivot_ExpensebyCategory!$F$3:$F$4</c:f>
              <c:strCache>
                <c:ptCount val="1"/>
                <c:pt idx="0">
                  <c:v>Food</c:v>
                </c:pt>
              </c:strCache>
            </c:strRef>
          </c:tx>
          <c:spPr>
            <a:solidFill>
              <a:schemeClr val="accent5"/>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Pivot_ExpensebyCategory!$F$5:$F$12</c:f>
              <c:numCache>
                <c:formatCode>"₹"\ #,##0.00</c:formatCode>
                <c:ptCount val="6"/>
                <c:pt idx="0">
                  <c:v>19730</c:v>
                </c:pt>
                <c:pt idx="1">
                  <c:v>42444</c:v>
                </c:pt>
                <c:pt idx="2">
                  <c:v>36331</c:v>
                </c:pt>
                <c:pt idx="3">
                  <c:v>47933</c:v>
                </c:pt>
                <c:pt idx="4">
                  <c:v>32220</c:v>
                </c:pt>
                <c:pt idx="5">
                  <c:v>53496</c:v>
                </c:pt>
              </c:numCache>
            </c:numRef>
          </c:val>
          <c:extLst>
            <c:ext xmlns:c16="http://schemas.microsoft.com/office/drawing/2014/chart" uri="{C3380CC4-5D6E-409C-BE32-E72D297353CC}">
              <c16:uniqueId val="{00000004-BF09-4546-8EA3-1197FD06329D}"/>
            </c:ext>
          </c:extLst>
        </c:ser>
        <c:ser>
          <c:idx val="5"/>
          <c:order val="5"/>
          <c:tx>
            <c:strRef>
              <c:f>Pivot_ExpensebyCategory!$G$3:$G$4</c:f>
              <c:strCache>
                <c:ptCount val="1"/>
                <c:pt idx="0">
                  <c:v>Health</c:v>
                </c:pt>
              </c:strCache>
            </c:strRef>
          </c:tx>
          <c:spPr>
            <a:solidFill>
              <a:schemeClr val="accent6"/>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Pivot_ExpensebyCategory!$G$5:$G$12</c:f>
              <c:numCache>
                <c:formatCode>"₹"\ #,##0.00</c:formatCode>
                <c:ptCount val="6"/>
                <c:pt idx="0">
                  <c:v>25844</c:v>
                </c:pt>
                <c:pt idx="1">
                  <c:v>57502</c:v>
                </c:pt>
                <c:pt idx="2">
                  <c:v>52198</c:v>
                </c:pt>
                <c:pt idx="3">
                  <c:v>1749</c:v>
                </c:pt>
                <c:pt idx="4">
                  <c:v>20729</c:v>
                </c:pt>
                <c:pt idx="5">
                  <c:v>58188</c:v>
                </c:pt>
              </c:numCache>
            </c:numRef>
          </c:val>
          <c:extLst>
            <c:ext xmlns:c16="http://schemas.microsoft.com/office/drawing/2014/chart" uri="{C3380CC4-5D6E-409C-BE32-E72D297353CC}">
              <c16:uniqueId val="{00000005-BF09-4546-8EA3-1197FD06329D}"/>
            </c:ext>
          </c:extLst>
        </c:ser>
        <c:ser>
          <c:idx val="6"/>
          <c:order val="6"/>
          <c:tx>
            <c:strRef>
              <c:f>Pivot_ExpensebyCategory!$H$3:$H$4</c:f>
              <c:strCache>
                <c:ptCount val="1"/>
                <c:pt idx="0">
                  <c:v>Housing</c:v>
                </c:pt>
              </c:strCache>
            </c:strRef>
          </c:tx>
          <c:spPr>
            <a:solidFill>
              <a:schemeClr val="accent1">
                <a:lumMod val="60000"/>
              </a:schemeClr>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Pivot_ExpensebyCategory!$H$5:$H$12</c:f>
              <c:numCache>
                <c:formatCode>"₹"\ #,##0.00</c:formatCode>
                <c:ptCount val="6"/>
                <c:pt idx="0">
                  <c:v>12579</c:v>
                </c:pt>
                <c:pt idx="1">
                  <c:v>55805</c:v>
                </c:pt>
                <c:pt idx="2">
                  <c:v>8775</c:v>
                </c:pt>
                <c:pt idx="3">
                  <c:v>33391</c:v>
                </c:pt>
                <c:pt idx="4">
                  <c:v>61149</c:v>
                </c:pt>
                <c:pt idx="5">
                  <c:v>30823</c:v>
                </c:pt>
              </c:numCache>
            </c:numRef>
          </c:val>
          <c:extLst>
            <c:ext xmlns:c16="http://schemas.microsoft.com/office/drawing/2014/chart" uri="{C3380CC4-5D6E-409C-BE32-E72D297353CC}">
              <c16:uniqueId val="{00000006-BF09-4546-8EA3-1197FD06329D}"/>
            </c:ext>
          </c:extLst>
        </c:ser>
        <c:ser>
          <c:idx val="7"/>
          <c:order val="7"/>
          <c:tx>
            <c:strRef>
              <c:f>Pivot_ExpensebyCategory!$I$3:$I$4</c:f>
              <c:strCache>
                <c:ptCount val="1"/>
                <c:pt idx="0">
                  <c:v>Misc</c:v>
                </c:pt>
              </c:strCache>
            </c:strRef>
          </c:tx>
          <c:spPr>
            <a:solidFill>
              <a:schemeClr val="accent2">
                <a:lumMod val="60000"/>
              </a:schemeClr>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Pivot_ExpensebyCategory!$I$5:$I$12</c:f>
              <c:numCache>
                <c:formatCode>"₹"\ #,##0.00</c:formatCode>
                <c:ptCount val="6"/>
                <c:pt idx="0">
                  <c:v>51688</c:v>
                </c:pt>
                <c:pt idx="1">
                  <c:v>65744</c:v>
                </c:pt>
                <c:pt idx="2">
                  <c:v>37668</c:v>
                </c:pt>
                <c:pt idx="3">
                  <c:v>18863</c:v>
                </c:pt>
                <c:pt idx="4">
                  <c:v>53742</c:v>
                </c:pt>
                <c:pt idx="5">
                  <c:v>21284</c:v>
                </c:pt>
              </c:numCache>
            </c:numRef>
          </c:val>
          <c:extLst>
            <c:ext xmlns:c16="http://schemas.microsoft.com/office/drawing/2014/chart" uri="{C3380CC4-5D6E-409C-BE32-E72D297353CC}">
              <c16:uniqueId val="{00000007-BF09-4546-8EA3-1197FD06329D}"/>
            </c:ext>
          </c:extLst>
        </c:ser>
        <c:ser>
          <c:idx val="8"/>
          <c:order val="8"/>
          <c:tx>
            <c:strRef>
              <c:f>Pivot_ExpensebyCategory!$J$3:$J$4</c:f>
              <c:strCache>
                <c:ptCount val="1"/>
                <c:pt idx="0">
                  <c:v>Shopping</c:v>
                </c:pt>
              </c:strCache>
            </c:strRef>
          </c:tx>
          <c:spPr>
            <a:solidFill>
              <a:schemeClr val="accent3">
                <a:lumMod val="60000"/>
              </a:schemeClr>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Pivot_ExpensebyCategory!$J$5:$J$12</c:f>
              <c:numCache>
                <c:formatCode>"₹"\ #,##0.00</c:formatCode>
                <c:ptCount val="6"/>
                <c:pt idx="0">
                  <c:v>18881</c:v>
                </c:pt>
                <c:pt idx="1">
                  <c:v>24721</c:v>
                </c:pt>
                <c:pt idx="2">
                  <c:v>17051</c:v>
                </c:pt>
                <c:pt idx="3">
                  <c:v>80284</c:v>
                </c:pt>
                <c:pt idx="4">
                  <c:v>21086</c:v>
                </c:pt>
                <c:pt idx="5">
                  <c:v>74440</c:v>
                </c:pt>
              </c:numCache>
            </c:numRef>
          </c:val>
          <c:extLst>
            <c:ext xmlns:c16="http://schemas.microsoft.com/office/drawing/2014/chart" uri="{C3380CC4-5D6E-409C-BE32-E72D297353CC}">
              <c16:uniqueId val="{00000008-BF09-4546-8EA3-1197FD06329D}"/>
            </c:ext>
          </c:extLst>
        </c:ser>
        <c:ser>
          <c:idx val="9"/>
          <c:order val="9"/>
          <c:tx>
            <c:strRef>
              <c:f>Pivot_ExpensebyCategory!$K$3:$K$4</c:f>
              <c:strCache>
                <c:ptCount val="1"/>
                <c:pt idx="0">
                  <c:v>Transport</c:v>
                </c:pt>
              </c:strCache>
            </c:strRef>
          </c:tx>
          <c:spPr>
            <a:solidFill>
              <a:schemeClr val="accent4">
                <a:lumMod val="60000"/>
              </a:schemeClr>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Pivot_ExpensebyCategory!$K$5:$K$12</c:f>
              <c:numCache>
                <c:formatCode>"₹"\ #,##0.00</c:formatCode>
                <c:ptCount val="6"/>
                <c:pt idx="0">
                  <c:v>34857</c:v>
                </c:pt>
                <c:pt idx="1">
                  <c:v>15851</c:v>
                </c:pt>
                <c:pt idx="2">
                  <c:v>66526</c:v>
                </c:pt>
                <c:pt idx="3">
                  <c:v>56245</c:v>
                </c:pt>
                <c:pt idx="4">
                  <c:v>36822</c:v>
                </c:pt>
                <c:pt idx="5">
                  <c:v>4808</c:v>
                </c:pt>
              </c:numCache>
            </c:numRef>
          </c:val>
          <c:extLst>
            <c:ext xmlns:c16="http://schemas.microsoft.com/office/drawing/2014/chart" uri="{C3380CC4-5D6E-409C-BE32-E72D297353CC}">
              <c16:uniqueId val="{00000009-BF09-4546-8EA3-1197FD06329D}"/>
            </c:ext>
          </c:extLst>
        </c:ser>
        <c:ser>
          <c:idx val="10"/>
          <c:order val="10"/>
          <c:tx>
            <c:strRef>
              <c:f>Pivot_ExpensebyCategory!$L$3:$L$4</c:f>
              <c:strCache>
                <c:ptCount val="1"/>
                <c:pt idx="0">
                  <c:v>Travel</c:v>
                </c:pt>
              </c:strCache>
            </c:strRef>
          </c:tx>
          <c:spPr>
            <a:solidFill>
              <a:schemeClr val="accent5">
                <a:lumMod val="60000"/>
              </a:schemeClr>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Pivot_ExpensebyCategory!$L$5:$L$12</c:f>
              <c:numCache>
                <c:formatCode>"₹"\ #,##0.00</c:formatCode>
                <c:ptCount val="6"/>
                <c:pt idx="0">
                  <c:v>39704</c:v>
                </c:pt>
                <c:pt idx="1">
                  <c:v>82411</c:v>
                </c:pt>
                <c:pt idx="2">
                  <c:v>24249</c:v>
                </c:pt>
                <c:pt idx="3">
                  <c:v>55114</c:v>
                </c:pt>
                <c:pt idx="4">
                  <c:v>33223</c:v>
                </c:pt>
                <c:pt idx="5">
                  <c:v>28926</c:v>
                </c:pt>
              </c:numCache>
            </c:numRef>
          </c:val>
          <c:extLst>
            <c:ext xmlns:c16="http://schemas.microsoft.com/office/drawing/2014/chart" uri="{C3380CC4-5D6E-409C-BE32-E72D297353CC}">
              <c16:uniqueId val="{0000000A-BF09-4546-8EA3-1197FD06329D}"/>
            </c:ext>
          </c:extLst>
        </c:ser>
        <c:ser>
          <c:idx val="11"/>
          <c:order val="11"/>
          <c:tx>
            <c:strRef>
              <c:f>Pivot_ExpensebyCategory!$M$3:$M$4</c:f>
              <c:strCache>
                <c:ptCount val="1"/>
                <c:pt idx="0">
                  <c:v>Utilities</c:v>
                </c:pt>
              </c:strCache>
            </c:strRef>
          </c:tx>
          <c:spPr>
            <a:solidFill>
              <a:schemeClr val="accent6">
                <a:lumMod val="60000"/>
              </a:schemeClr>
            </a:solidFill>
            <a:ln>
              <a:noFill/>
            </a:ln>
            <a:effectLst/>
          </c:spPr>
          <c:invertIfNegative val="0"/>
          <c:cat>
            <c:multiLvlStrRef>
              <c:f>Pivot_ExpensebyCategory!$A$5:$A$12</c:f>
              <c:multiLvlStrCache>
                <c:ptCount val="6"/>
                <c:lvl>
                  <c:pt idx="0">
                    <c:v>Jan</c:v>
                  </c:pt>
                  <c:pt idx="1">
                    <c:v>Feb</c:v>
                  </c:pt>
                  <c:pt idx="2">
                    <c:v>Mar</c:v>
                  </c:pt>
                  <c:pt idx="3">
                    <c:v>Apr</c:v>
                  </c:pt>
                  <c:pt idx="4">
                    <c:v>May</c:v>
                  </c:pt>
                  <c:pt idx="5">
                    <c:v>Jun</c:v>
                  </c:pt>
                </c:lvl>
                <c:lvl>
                  <c:pt idx="0">
                    <c:v>2025</c:v>
                  </c:pt>
                </c:lvl>
              </c:multiLvlStrCache>
            </c:multiLvlStrRef>
          </c:cat>
          <c:val>
            <c:numRef>
              <c:f>Pivot_ExpensebyCategory!$M$5:$M$12</c:f>
              <c:numCache>
                <c:formatCode>"₹"\ #,##0.00</c:formatCode>
                <c:ptCount val="6"/>
                <c:pt idx="0">
                  <c:v>35322</c:v>
                </c:pt>
                <c:pt idx="1">
                  <c:v>12824</c:v>
                </c:pt>
                <c:pt idx="2">
                  <c:v>6603</c:v>
                </c:pt>
                <c:pt idx="3">
                  <c:v>21114</c:v>
                </c:pt>
                <c:pt idx="4">
                  <c:v>21116</c:v>
                </c:pt>
                <c:pt idx="5">
                  <c:v>22475</c:v>
                </c:pt>
              </c:numCache>
            </c:numRef>
          </c:val>
          <c:extLst>
            <c:ext xmlns:c16="http://schemas.microsoft.com/office/drawing/2014/chart" uri="{C3380CC4-5D6E-409C-BE32-E72D297353CC}">
              <c16:uniqueId val="{0000000B-BF09-4546-8EA3-1197FD06329D}"/>
            </c:ext>
          </c:extLst>
        </c:ser>
        <c:dLbls>
          <c:showLegendKey val="0"/>
          <c:showVal val="0"/>
          <c:showCatName val="0"/>
          <c:showSerName val="0"/>
          <c:showPercent val="0"/>
          <c:showBubbleSize val="0"/>
        </c:dLbls>
        <c:gapWidth val="219"/>
        <c:axId val="953639856"/>
        <c:axId val="953623536"/>
      </c:barChart>
      <c:catAx>
        <c:axId val="953639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53623536"/>
        <c:crosses val="autoZero"/>
        <c:auto val="1"/>
        <c:lblAlgn val="ctr"/>
        <c:lblOffset val="100"/>
        <c:noMultiLvlLbl val="0"/>
      </c:catAx>
      <c:valAx>
        <c:axId val="9536235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53639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chemeClr val="tx1">
                    <a:lumMod val="85000"/>
                    <a:lumOff val="15000"/>
                  </a:schemeClr>
                </a:solidFill>
                <a:latin typeface="+mn-lt"/>
                <a:ea typeface="+mn-ea"/>
                <a:cs typeface="+mn-cs"/>
              </a:rPr>
              <a:t>Financial</a:t>
            </a:r>
            <a:r>
              <a:rPr lang="en-IN" baseline="0"/>
              <a:t> </a:t>
            </a:r>
            <a:r>
              <a:rPr lang="en-IN" sz="1400" b="1" i="0" u="none" strike="noStrike" kern="1200" spc="0" baseline="0">
                <a:solidFill>
                  <a:schemeClr val="tx1">
                    <a:lumMod val="85000"/>
                    <a:lumOff val="15000"/>
                  </a:schemeClr>
                </a:solidFill>
                <a:latin typeface="+mn-lt"/>
                <a:ea typeface="+mn-ea"/>
                <a:cs typeface="+mn-cs"/>
              </a:rPr>
              <a:t>Health</a:t>
            </a:r>
            <a:r>
              <a:rPr lang="en-IN" baseline="0"/>
              <a:t> </a:t>
            </a:r>
            <a:r>
              <a:rPr lang="en-IN" b="1" baseline="0">
                <a:solidFill>
                  <a:schemeClr val="tx1">
                    <a:lumMod val="85000"/>
                    <a:lumOff val="15000"/>
                  </a:schemeClr>
                </a:solidFill>
              </a:rPr>
              <a:t>Speedometer</a:t>
            </a:r>
            <a:endParaRPr lang="en-IN" b="1">
              <a:solidFill>
                <a:schemeClr val="tx1">
                  <a:lumMod val="85000"/>
                  <a:lumOff val="15000"/>
                </a:schemeClr>
              </a:solidFill>
            </a:endParaRPr>
          </a:p>
        </c:rich>
      </c:tx>
      <c:layout>
        <c:manualLayout>
          <c:xMode val="edge"/>
          <c:yMode val="edge"/>
          <c:x val="0.22581594673547162"/>
          <c:y val="4.402515723270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33499117695033881"/>
          <c:y val="0.26922932710334285"/>
          <c:w val="0.37570695612201022"/>
          <c:h val="0.73077067289665731"/>
        </c:manualLayout>
      </c:layout>
      <c:doughnutChart>
        <c:varyColors val="1"/>
        <c:ser>
          <c:idx val="0"/>
          <c:order val="0"/>
          <c:tx>
            <c:v>Zone</c:v>
          </c:tx>
          <c:spPr>
            <a:effectLst>
              <a:outerShdw blurRad="50800" dist="38100" dir="2700000" algn="tl" rotWithShape="0">
                <a:prstClr val="black">
                  <a:alpha val="40000"/>
                </a:prstClr>
              </a:outerShdw>
            </a:effectLst>
          </c:spPr>
          <c:dPt>
            <c:idx val="0"/>
            <c:bubble3D val="0"/>
            <c:spPr>
              <a:solidFill>
                <a:srgbClr val="FF0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5D02-40B9-8E41-C2990A1423A6}"/>
              </c:ext>
            </c:extLst>
          </c:dPt>
          <c:dPt>
            <c:idx val="1"/>
            <c:bubble3D val="0"/>
            <c:spPr>
              <a:solidFill>
                <a:schemeClr val="accent4">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5D02-40B9-8E41-C2990A1423A6}"/>
              </c:ext>
            </c:extLst>
          </c:dPt>
          <c:dPt>
            <c:idx val="2"/>
            <c:bubble3D val="0"/>
            <c:spPr>
              <a:solidFill>
                <a:schemeClr val="accent6"/>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5D02-40B9-8E41-C2990A1423A6}"/>
              </c:ext>
            </c:extLst>
          </c:dPt>
          <c:dPt>
            <c:idx val="3"/>
            <c:bubble3D val="0"/>
            <c:spPr>
              <a:solidFill>
                <a:schemeClr val="bg1"/>
              </a:solidFill>
              <a:ln w="19050">
                <a:solidFill>
                  <a:schemeClr val="lt1"/>
                </a:solidFill>
              </a:ln>
              <a:effectLst/>
            </c:spPr>
            <c:extLst>
              <c:ext xmlns:c16="http://schemas.microsoft.com/office/drawing/2014/chart" uri="{C3380CC4-5D6E-409C-BE32-E72D297353CC}">
                <c16:uniqueId val="{00000007-5D02-40B9-8E41-C2990A1423A6}"/>
              </c:ext>
            </c:extLst>
          </c:dPt>
          <c:dLbls>
            <c:dLbl>
              <c:idx val="3"/>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7-5D02-40B9-8E41-C2990A1423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 Calculations'!$E$1:$E$4</c:f>
              <c:strCache>
                <c:ptCount val="4"/>
                <c:pt idx="0">
                  <c:v>Red Zone</c:v>
                </c:pt>
                <c:pt idx="1">
                  <c:v>Yellow Zone</c:v>
                </c:pt>
                <c:pt idx="2">
                  <c:v>Green Zone</c:v>
                </c:pt>
                <c:pt idx="3">
                  <c:v>Hidden Half</c:v>
                </c:pt>
              </c:strCache>
            </c:strRef>
          </c:cat>
          <c:val>
            <c:numRef>
              <c:f>'KPI Calculations'!$F$1:$F$4</c:f>
              <c:numCache>
                <c:formatCode>General</c:formatCode>
                <c:ptCount val="4"/>
                <c:pt idx="0">
                  <c:v>10</c:v>
                </c:pt>
                <c:pt idx="1">
                  <c:v>10</c:v>
                </c:pt>
                <c:pt idx="2">
                  <c:v>10</c:v>
                </c:pt>
                <c:pt idx="3">
                  <c:v>30</c:v>
                </c:pt>
              </c:numCache>
            </c:numRef>
          </c:val>
          <c:extLst>
            <c:ext xmlns:c16="http://schemas.microsoft.com/office/drawing/2014/chart" uri="{C3380CC4-5D6E-409C-BE32-E72D297353CC}">
              <c16:uniqueId val="{00000008-5D02-40B9-8E41-C2990A1423A6}"/>
            </c:ext>
          </c:extLst>
        </c:ser>
        <c:dLbls>
          <c:showLegendKey val="0"/>
          <c:showVal val="0"/>
          <c:showCatName val="0"/>
          <c:showSerName val="0"/>
          <c:showPercent val="1"/>
          <c:showBubbleSize val="0"/>
          <c:showLeaderLines val="1"/>
        </c:dLbls>
        <c:firstSliceAng val="270"/>
        <c:holeSize val="50"/>
      </c:doughnutChart>
      <c:pieChart>
        <c:varyColors val="1"/>
        <c:ser>
          <c:idx val="1"/>
          <c:order val="1"/>
          <c:tx>
            <c:v>Needle</c:v>
          </c:tx>
          <c:dPt>
            <c:idx val="0"/>
            <c:bubble3D val="0"/>
            <c:spPr>
              <a:solidFill>
                <a:schemeClr val="tx1"/>
              </a:solidFill>
              <a:ln w="19050">
                <a:solidFill>
                  <a:schemeClr val="accent1"/>
                </a:solidFill>
              </a:ln>
              <a:effectLst/>
            </c:spPr>
            <c:extLst>
              <c:ext xmlns:c16="http://schemas.microsoft.com/office/drawing/2014/chart" uri="{C3380CC4-5D6E-409C-BE32-E72D297353CC}">
                <c16:uniqueId val="{0000000A-5D02-40B9-8E41-C2990A1423A6}"/>
              </c:ext>
            </c:extLst>
          </c:dPt>
          <c:dPt>
            <c:idx val="1"/>
            <c:bubble3D val="0"/>
            <c:spPr>
              <a:noFill/>
              <a:ln w="19050">
                <a:solidFill>
                  <a:schemeClr val="lt1"/>
                </a:solidFill>
              </a:ln>
              <a:effectLst/>
            </c:spPr>
            <c:extLst>
              <c:ext xmlns:c16="http://schemas.microsoft.com/office/drawing/2014/chart" uri="{C3380CC4-5D6E-409C-BE32-E72D297353CC}">
                <c16:uniqueId val="{0000000C-5D02-40B9-8E41-C2990A1423A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'KPI Calculations'!$F$5:$F$6</c:f>
              <c:numCache>
                <c:formatCode>General</c:formatCode>
                <c:ptCount val="2"/>
                <c:pt idx="0">
                  <c:v>1.7226566806684325</c:v>
                </c:pt>
                <c:pt idx="1">
                  <c:v>28.277343319331568</c:v>
                </c:pt>
              </c:numCache>
            </c:numRef>
          </c:val>
          <c:extLst>
            <c:ext xmlns:c16="http://schemas.microsoft.com/office/drawing/2014/chart" uri="{C3380CC4-5D6E-409C-BE32-E72D297353CC}">
              <c16:uniqueId val="{0000000D-5D02-40B9-8E41-C2990A1423A6}"/>
            </c:ext>
          </c:extLst>
        </c:ser>
        <c:dLbls>
          <c:showLegendKey val="0"/>
          <c:showVal val="0"/>
          <c:showCatName val="0"/>
          <c:showSerName val="0"/>
          <c:showPercent val="0"/>
          <c:showBubbleSize val="0"/>
          <c:showLeaderLines val="1"/>
        </c:dLbls>
        <c:firstSliceAng val="270"/>
      </c:pieChart>
      <c:spPr>
        <a:noFill/>
        <a:ln>
          <a:noFill/>
        </a:ln>
        <a:effectLst/>
      </c:spPr>
    </c:plotArea>
    <c:legend>
      <c:legendPos val="t"/>
      <c:layout>
        <c:manualLayout>
          <c:xMode val="edge"/>
          <c:yMode val="edge"/>
          <c:x val="0.38263366796664539"/>
          <c:y val="0.16408805031446541"/>
          <c:w val="0.24101012797129173"/>
          <c:h val="0.10613281830337246"/>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[PersonalExpenseTracker.xlsm]Pivot_Top5Expenses!Pivot_Top5Expenses</c:name>
    <c:fmtId val="4"/>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b="1">
                <a:solidFill>
                  <a:schemeClr val="tx1">
                    <a:lumMod val="85000"/>
                    <a:lumOff val="15000"/>
                  </a:schemeClr>
                </a:solidFill>
              </a:rPr>
              <a:t>Top</a:t>
            </a:r>
            <a:r>
              <a:rPr lang="en-IN" sz="1200" b="1" baseline="0">
                <a:solidFill>
                  <a:schemeClr val="tx1">
                    <a:lumMod val="85000"/>
                    <a:lumOff val="15000"/>
                  </a:schemeClr>
                </a:solidFill>
              </a:rPr>
              <a:t> 5 Expenses</a:t>
            </a:r>
            <a:endParaRPr lang="en-IN" sz="1200" b="1">
              <a:solidFill>
                <a:schemeClr val="tx1">
                  <a:lumMod val="85000"/>
                  <a:lumOff val="15000"/>
                </a:schemeClr>
              </a:solidFill>
            </a:endParaRPr>
          </a:p>
        </c:rich>
      </c:tx>
      <c:layout>
        <c:manualLayout>
          <c:xMode val="edge"/>
          <c:yMode val="edge"/>
          <c:x val="0.35559124188423813"/>
          <c:y val="4.08753209127547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a:sp3d/>
        </c:spPr>
      </c:pivotFmt>
      <c:pivotFmt>
        <c:idx val="5"/>
        <c:spPr>
          <a:solidFill>
            <a:srgbClr val="FF0000"/>
          </a:solidFill>
          <a:ln>
            <a:noFill/>
          </a:ln>
          <a:effectLst/>
          <a:sp3d/>
        </c:spPr>
      </c:pivotFmt>
      <c:pivotFmt>
        <c:idx val="6"/>
        <c:spPr>
          <a:solidFill>
            <a:srgbClr val="FF0000"/>
          </a:solidFill>
          <a:ln>
            <a:noFill/>
          </a:ln>
          <a:effectLst/>
          <a:sp3d/>
        </c:spPr>
      </c:pivotFmt>
      <c:pivotFmt>
        <c:idx val="7"/>
        <c:spPr>
          <a:solidFill>
            <a:srgbClr val="FF0000"/>
          </a:solidFill>
          <a:ln>
            <a:noFill/>
          </a:ln>
          <a:effectLst/>
          <a:sp3d/>
        </c:spPr>
      </c:pivotFmt>
      <c:pivotFmt>
        <c:idx val="8"/>
        <c:spPr>
          <a:solidFill>
            <a:srgbClr val="FF0000"/>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0953742674748776"/>
          <c:y val="0.15922837594738862"/>
          <c:w val="0.55895583159503626"/>
          <c:h val="0.67037591045800127"/>
        </c:manualLayout>
      </c:layout>
      <c:bar3DChart>
        <c:barDir val="bar"/>
        <c:grouping val="clustered"/>
        <c:varyColors val="0"/>
        <c:ser>
          <c:idx val="0"/>
          <c:order val="0"/>
          <c:tx>
            <c:strRef>
              <c:f>Pivot_Top5Expenses!$B$3</c:f>
              <c:strCache>
                <c:ptCount val="1"/>
                <c:pt idx="0">
                  <c:v>Total</c:v>
                </c:pt>
              </c:strCache>
            </c:strRef>
          </c:tx>
          <c:spPr>
            <a:solidFill>
              <a:srgbClr val="FF0000"/>
            </a:solidFill>
            <a:ln>
              <a:noFill/>
            </a:ln>
            <a:effectLst/>
            <a:sp3d/>
          </c:spPr>
          <c:invertIfNegative val="0"/>
          <c:dPt>
            <c:idx val="0"/>
            <c:invertIfNegative val="0"/>
            <c:bubble3D val="0"/>
            <c:spPr>
              <a:solidFill>
                <a:srgbClr val="FF0000"/>
              </a:solidFill>
              <a:ln>
                <a:noFill/>
              </a:ln>
              <a:effectLst/>
              <a:sp3d/>
            </c:spPr>
            <c:extLst>
              <c:ext xmlns:c16="http://schemas.microsoft.com/office/drawing/2014/chart" uri="{C3380CC4-5D6E-409C-BE32-E72D297353CC}">
                <c16:uniqueId val="{00000004-3DEE-4281-8649-D3987DDAD8B2}"/>
              </c:ext>
            </c:extLst>
          </c:dPt>
          <c:dPt>
            <c:idx val="1"/>
            <c:invertIfNegative val="0"/>
            <c:bubble3D val="0"/>
            <c:spPr>
              <a:solidFill>
                <a:srgbClr val="FF0000"/>
              </a:solidFill>
              <a:ln>
                <a:noFill/>
              </a:ln>
              <a:effectLst/>
              <a:sp3d/>
            </c:spPr>
            <c:extLst>
              <c:ext xmlns:c16="http://schemas.microsoft.com/office/drawing/2014/chart" uri="{C3380CC4-5D6E-409C-BE32-E72D297353CC}">
                <c16:uniqueId val="{00000003-3DEE-4281-8649-D3987DDAD8B2}"/>
              </c:ext>
            </c:extLst>
          </c:dPt>
          <c:dPt>
            <c:idx val="2"/>
            <c:invertIfNegative val="0"/>
            <c:bubble3D val="0"/>
            <c:spPr>
              <a:solidFill>
                <a:srgbClr val="FF0000"/>
              </a:solidFill>
              <a:ln>
                <a:noFill/>
              </a:ln>
              <a:effectLst/>
              <a:sp3d/>
            </c:spPr>
            <c:extLst>
              <c:ext xmlns:c16="http://schemas.microsoft.com/office/drawing/2014/chart" uri="{C3380CC4-5D6E-409C-BE32-E72D297353CC}">
                <c16:uniqueId val="{00000002-3DEE-4281-8649-D3987DDAD8B2}"/>
              </c:ext>
            </c:extLst>
          </c:dPt>
          <c:dPt>
            <c:idx val="3"/>
            <c:invertIfNegative val="0"/>
            <c:bubble3D val="0"/>
            <c:spPr>
              <a:solidFill>
                <a:srgbClr val="FF0000"/>
              </a:solidFill>
              <a:ln>
                <a:noFill/>
              </a:ln>
              <a:effectLst/>
              <a:sp3d/>
            </c:spPr>
            <c:extLst>
              <c:ext xmlns:c16="http://schemas.microsoft.com/office/drawing/2014/chart" uri="{C3380CC4-5D6E-409C-BE32-E72D297353CC}">
                <c16:uniqueId val="{00000001-3DEE-4281-8649-D3987DDAD8B2}"/>
              </c:ext>
            </c:extLst>
          </c:dPt>
          <c:dPt>
            <c:idx val="4"/>
            <c:invertIfNegative val="0"/>
            <c:bubble3D val="0"/>
            <c:spPr>
              <a:solidFill>
                <a:srgbClr val="FF0000"/>
              </a:solidFill>
              <a:ln>
                <a:noFill/>
              </a:ln>
              <a:effectLst/>
              <a:sp3d/>
            </c:spPr>
            <c:extLst>
              <c:ext xmlns:c16="http://schemas.microsoft.com/office/drawing/2014/chart" uri="{C3380CC4-5D6E-409C-BE32-E72D297353CC}">
                <c16:uniqueId val="{00000000-3DEE-4281-8649-D3987DDAD8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Pivot_Top5Expenses!$A$4:$A$9</c:f>
              <c:strCache>
                <c:ptCount val="5"/>
                <c:pt idx="0">
                  <c:v>Flight</c:v>
                </c:pt>
                <c:pt idx="1">
                  <c:v>Haircut</c:v>
                </c:pt>
                <c:pt idx="2">
                  <c:v>Bank Fees</c:v>
                </c:pt>
                <c:pt idx="3">
                  <c:v>Magazines</c:v>
                </c:pt>
                <c:pt idx="4">
                  <c:v>Loan EMI</c:v>
                </c:pt>
              </c:strCache>
            </c:strRef>
          </c:cat>
          <c:val>
            <c:numRef>
              <c:f>Pivot_Top5Expenses!$B$4:$B$9</c:f>
              <c:numCache>
                <c:formatCode>"₹"\ #,##0.00</c:formatCode>
                <c:ptCount val="5"/>
                <c:pt idx="0">
                  <c:v>134718</c:v>
                </c:pt>
                <c:pt idx="1">
                  <c:v>131662</c:v>
                </c:pt>
                <c:pt idx="2">
                  <c:v>101825</c:v>
                </c:pt>
                <c:pt idx="3">
                  <c:v>97779</c:v>
                </c:pt>
                <c:pt idx="4">
                  <c:v>91536</c:v>
                </c:pt>
              </c:numCache>
            </c:numRef>
          </c:val>
          <c:extLst>
            <c:ext xmlns:c16="http://schemas.microsoft.com/office/drawing/2014/chart" uri="{C3380CC4-5D6E-409C-BE32-E72D297353CC}">
              <c16:uniqueId val="{00000000-1AC3-444F-AB76-EBBB345215EA}"/>
            </c:ext>
          </c:extLst>
        </c:ser>
        <c:dLbls>
          <c:showLegendKey val="0"/>
          <c:showVal val="1"/>
          <c:showCatName val="0"/>
          <c:showSerName val="0"/>
          <c:showPercent val="0"/>
          <c:showBubbleSize val="0"/>
        </c:dLbls>
        <c:gapWidth val="150"/>
        <c:shape val="box"/>
        <c:axId val="1208499712"/>
        <c:axId val="1208498752"/>
        <c:axId val="0"/>
      </c:bar3DChart>
      <c:catAx>
        <c:axId val="120849971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08498752"/>
        <c:crosses val="autoZero"/>
        <c:auto val="1"/>
        <c:lblAlgn val="ctr"/>
        <c:lblOffset val="100"/>
        <c:noMultiLvlLbl val="0"/>
      </c:catAx>
      <c:valAx>
        <c:axId val="1208498752"/>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208499712"/>
        <c:crosses val="autoZero"/>
        <c:crossBetween val="between"/>
        <c:majorUnit val="5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40000"/>
        <a:lumOff val="60000"/>
      </a:schemeClr>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[PersonalExpenseTracker.xlsm]Pivot_Top5IncomeSources!PivotTable1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tx1">
                    <a:lumMod val="85000"/>
                    <a:lumOff val="15000"/>
                  </a:schemeClr>
                </a:solidFill>
              </a:rPr>
              <a:t>Top</a:t>
            </a:r>
            <a:r>
              <a:rPr lang="en-US" sz="1200" b="1" baseline="0">
                <a:solidFill>
                  <a:schemeClr val="tx1">
                    <a:lumMod val="85000"/>
                    <a:lumOff val="15000"/>
                  </a:schemeClr>
                </a:solidFill>
              </a:rPr>
              <a:t> 5 Income Source</a:t>
            </a:r>
            <a:endParaRPr lang="en-US" sz="1200" b="1">
              <a:solidFill>
                <a:schemeClr val="tx1">
                  <a:lumMod val="85000"/>
                  <a:lumOff val="15000"/>
                </a:schemeClr>
              </a:solidFill>
            </a:endParaRPr>
          </a:p>
        </c:rich>
      </c:tx>
      <c:layout>
        <c:manualLayout>
          <c:xMode val="edge"/>
          <c:yMode val="edge"/>
          <c:x val="0.31296112408684262"/>
          <c:y val="3.2815730435930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830216535433071"/>
          <c:y val="0.16373773809000133"/>
          <c:w val="0.55403560789359585"/>
          <c:h val="0.62839264505344661"/>
        </c:manualLayout>
      </c:layout>
      <c:bar3DChart>
        <c:barDir val="bar"/>
        <c:grouping val="clustered"/>
        <c:varyColors val="0"/>
        <c:ser>
          <c:idx val="0"/>
          <c:order val="0"/>
          <c:tx>
            <c:strRef>
              <c:f>Pivot_Top5IncomeSources!$B$3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5-21E5-4685-8C69-8530177F1069}"/>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4-21E5-4685-8C69-8530177F1069}"/>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3-21E5-4685-8C69-8530177F1069}"/>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2-21E5-4685-8C69-8530177F1069}"/>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1-21E5-4685-8C69-8530177F10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Pivot_Top5IncomeSources!$A$4:$A$9</c:f>
              <c:strCache>
                <c:ptCount val="5"/>
                <c:pt idx="0">
                  <c:v>Affiliate Earnings</c:v>
                </c:pt>
                <c:pt idx="1">
                  <c:v>Design Project</c:v>
                </c:pt>
                <c:pt idx="2">
                  <c:v>Rental Income</c:v>
                </c:pt>
                <c:pt idx="3">
                  <c:v>Royalties</c:v>
                </c:pt>
                <c:pt idx="4">
                  <c:v>Stock Dividends</c:v>
                </c:pt>
              </c:strCache>
            </c:strRef>
          </c:cat>
          <c:val>
            <c:numRef>
              <c:f>Pivot_Top5IncomeSources!$B$4:$B$9</c:f>
              <c:numCache>
                <c:formatCode>"₹"\ #,##0.00</c:formatCode>
                <c:ptCount val="5"/>
                <c:pt idx="0">
                  <c:v>271578</c:v>
                </c:pt>
                <c:pt idx="1">
                  <c:v>260321</c:v>
                </c:pt>
                <c:pt idx="2">
                  <c:v>225442</c:v>
                </c:pt>
                <c:pt idx="3">
                  <c:v>220492</c:v>
                </c:pt>
                <c:pt idx="4">
                  <c:v>338388</c:v>
                </c:pt>
              </c:numCache>
            </c:numRef>
          </c:val>
          <c:extLst>
            <c:ext xmlns:c16="http://schemas.microsoft.com/office/drawing/2014/chart" uri="{C3380CC4-5D6E-409C-BE32-E72D297353CC}">
              <c16:uniqueId val="{00000000-21E5-4685-8C69-8530177F1069}"/>
            </c:ext>
          </c:extLst>
        </c:ser>
        <c:dLbls>
          <c:showLegendKey val="0"/>
          <c:showVal val="1"/>
          <c:showCatName val="0"/>
          <c:showSerName val="0"/>
          <c:showPercent val="0"/>
          <c:showBubbleSize val="0"/>
        </c:dLbls>
        <c:gapWidth val="150"/>
        <c:shape val="box"/>
        <c:axId val="474550879"/>
        <c:axId val="474557119"/>
        <c:axId val="0"/>
      </c:bar3DChart>
      <c:catAx>
        <c:axId val="4745508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474557119"/>
        <c:crosses val="autoZero"/>
        <c:auto val="1"/>
        <c:lblAlgn val="ctr"/>
        <c:lblOffset val="100"/>
        <c:noMultiLvlLbl val="0"/>
      </c:catAx>
      <c:valAx>
        <c:axId val="474557119"/>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74550879"/>
        <c:crosses val="autoZero"/>
        <c:crossBetween val="between"/>
        <c:majorUnit val="1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 Id="rId1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10</xdr:row>
      <xdr:rowOff>7619</xdr:rowOff>
    </xdr:from>
    <xdr:to>
      <xdr:col>0</xdr:col>
      <xdr:colOff>1790700</xdr:colOff>
      <xdr:row>17</xdr:row>
      <xdr:rowOff>7620</xdr:rowOff>
    </xdr:to>
    <mc:AlternateContent xmlns:mc="http://schemas.openxmlformats.org/markup-compatibility/2006" xmlns:a14="http://schemas.microsoft.com/office/drawing/2010/main">
      <mc:Choice Requires="a14">
        <xdr:graphicFrame macro="">
          <xdr:nvGraphicFramePr>
            <xdr:cNvPr id="2" name="Category 2">
              <a:extLst>
                <a:ext uri="{FF2B5EF4-FFF2-40B4-BE49-F238E27FC236}">
                  <a16:creationId xmlns:a16="http://schemas.microsoft.com/office/drawing/2014/main" id="{105A2EAA-9C50-782C-7077-2EE309DBC608}"/>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0" y="1851659"/>
              <a:ext cx="1790700" cy="12801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2011680</xdr:colOff>
      <xdr:row>10</xdr:row>
      <xdr:rowOff>7621</xdr:rowOff>
    </xdr:from>
    <xdr:to>
      <xdr:col>3</xdr:col>
      <xdr:colOff>266700</xdr:colOff>
      <xdr:row>17</xdr:row>
      <xdr:rowOff>22861</xdr:rowOff>
    </xdr:to>
    <mc:AlternateContent xmlns:mc="http://schemas.openxmlformats.org/markup-compatibility/2006" xmlns:a14="http://schemas.microsoft.com/office/drawing/2010/main">
      <mc:Choice Requires="a14">
        <xdr:graphicFrame macro="">
          <xdr:nvGraphicFramePr>
            <xdr:cNvPr id="3" name="Months (Date) 2">
              <a:extLst>
                <a:ext uri="{FF2B5EF4-FFF2-40B4-BE49-F238E27FC236}">
                  <a16:creationId xmlns:a16="http://schemas.microsoft.com/office/drawing/2014/main" id="{783B9977-6363-82B1-555A-6940FC2D16BE}"/>
                </a:ext>
              </a:extLst>
            </xdr:cNvPr>
            <xdr:cNvGraphicFramePr/>
          </xdr:nvGraphicFramePr>
          <xdr:xfrm>
            <a:off x="0" y="0"/>
            <a:ext cx="0" cy="0"/>
          </xdr:xfrm>
          <a:graphic>
            <a:graphicData uri="http://schemas.microsoft.com/office/drawing/2010/slicer">
              <sle:slicer xmlns:sle="http://schemas.microsoft.com/office/drawing/2010/slicer" name="Months (Date) 2"/>
            </a:graphicData>
          </a:graphic>
        </xdr:graphicFrame>
      </mc:Choice>
      <mc:Fallback xmlns="">
        <xdr:sp macro="" textlink="">
          <xdr:nvSpPr>
            <xdr:cNvPr id="0" name=""/>
            <xdr:cNvSpPr>
              <a:spLocks noTextEdit="1"/>
            </xdr:cNvSpPr>
          </xdr:nvSpPr>
          <xdr:spPr>
            <a:xfrm>
              <a:off x="2011680" y="1851661"/>
              <a:ext cx="1828800" cy="1295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xdr:row>
      <xdr:rowOff>1</xdr:rowOff>
    </xdr:from>
    <xdr:to>
      <xdr:col>0</xdr:col>
      <xdr:colOff>1828800</xdr:colOff>
      <xdr:row>17</xdr:row>
      <xdr:rowOff>7620</xdr:rowOff>
    </xdr:to>
    <mc:AlternateContent xmlns:mc="http://schemas.openxmlformats.org/markup-compatibility/2006" xmlns:a14="http://schemas.microsoft.com/office/drawing/2010/main">
      <mc:Choice Requires="a14">
        <xdr:graphicFrame macro="">
          <xdr:nvGraphicFramePr>
            <xdr:cNvPr id="2" name="Category 5">
              <a:extLst>
                <a:ext uri="{FF2B5EF4-FFF2-40B4-BE49-F238E27FC236}">
                  <a16:creationId xmlns:a16="http://schemas.microsoft.com/office/drawing/2014/main" id="{23B5D426-F6EE-104C-7F48-D65CB77EC7AC}"/>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0" y="1828801"/>
              <a:ext cx="1828800" cy="1287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7620</xdr:colOff>
      <xdr:row>10</xdr:row>
      <xdr:rowOff>1</xdr:rowOff>
    </xdr:from>
    <xdr:to>
      <xdr:col>3</xdr:col>
      <xdr:colOff>236220</xdr:colOff>
      <xdr:row>17</xdr:row>
      <xdr:rowOff>7621</xdr:rowOff>
    </xdr:to>
    <mc:AlternateContent xmlns:mc="http://schemas.openxmlformats.org/markup-compatibility/2006" xmlns:a14="http://schemas.microsoft.com/office/drawing/2010/main">
      <mc:Choice Requires="a14">
        <xdr:graphicFrame macro="">
          <xdr:nvGraphicFramePr>
            <xdr:cNvPr id="3" name="Months (Date) 5">
              <a:extLst>
                <a:ext uri="{FF2B5EF4-FFF2-40B4-BE49-F238E27FC236}">
                  <a16:creationId xmlns:a16="http://schemas.microsoft.com/office/drawing/2014/main" id="{DEBB5D76-7811-5C72-BE2E-946654DDF9F6}"/>
                </a:ext>
              </a:extLst>
            </xdr:cNvPr>
            <xdr:cNvGraphicFramePr/>
          </xdr:nvGraphicFramePr>
          <xdr:xfrm>
            <a:off x="0" y="0"/>
            <a:ext cx="0" cy="0"/>
          </xdr:xfrm>
          <a:graphic>
            <a:graphicData uri="http://schemas.microsoft.com/office/drawing/2010/slicer">
              <sle:slicer xmlns:sle="http://schemas.microsoft.com/office/drawing/2010/slicer" name="Months (Date) 5"/>
            </a:graphicData>
          </a:graphic>
        </xdr:graphicFrame>
      </mc:Choice>
      <mc:Fallback xmlns="">
        <xdr:sp macro="" textlink="">
          <xdr:nvSpPr>
            <xdr:cNvPr id="0" name=""/>
            <xdr:cNvSpPr>
              <a:spLocks noTextEdit="1"/>
            </xdr:cNvSpPr>
          </xdr:nvSpPr>
          <xdr:spPr>
            <a:xfrm>
              <a:off x="2034540" y="1828801"/>
              <a:ext cx="1828800" cy="1287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1</xdr:col>
      <xdr:colOff>815340</xdr:colOff>
      <xdr:row>23</xdr:row>
      <xdr:rowOff>175259</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31A20186-6EA5-DEFA-6B8C-28B0ABC75C6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2438400"/>
              <a:ext cx="1828800" cy="20040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1203960</xdr:colOff>
      <xdr:row>12</xdr:row>
      <xdr:rowOff>175261</xdr:rowOff>
    </xdr:from>
    <xdr:to>
      <xdr:col>4</xdr:col>
      <xdr:colOff>152400</xdr:colOff>
      <xdr:row>23</xdr:row>
      <xdr:rowOff>167641</xdr:rowOff>
    </xdr:to>
    <mc:AlternateContent xmlns:mc="http://schemas.openxmlformats.org/markup-compatibility/2006" xmlns:a14="http://schemas.microsoft.com/office/drawing/2010/main">
      <mc:Choice Requires="a14">
        <xdr:graphicFrame macro="">
          <xdr:nvGraphicFramePr>
            <xdr:cNvPr id="5" name="Months (Date)">
              <a:extLst>
                <a:ext uri="{FF2B5EF4-FFF2-40B4-BE49-F238E27FC236}">
                  <a16:creationId xmlns:a16="http://schemas.microsoft.com/office/drawing/2014/main" id="{91B100F8-FC4A-C21E-42F0-8702B3F300EC}"/>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2217420" y="2430781"/>
              <a:ext cx="1828800" cy="2004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13</xdr:row>
      <xdr:rowOff>7621</xdr:rowOff>
    </xdr:from>
    <xdr:to>
      <xdr:col>1</xdr:col>
      <xdr:colOff>838200</xdr:colOff>
      <xdr:row>22</xdr:row>
      <xdr:rowOff>7621</xdr:rowOff>
    </xdr:to>
    <mc:AlternateContent xmlns:mc="http://schemas.openxmlformats.org/markup-compatibility/2006" xmlns:a14="http://schemas.microsoft.com/office/drawing/2010/main">
      <mc:Choice Requires="a14">
        <xdr:graphicFrame macro="">
          <xdr:nvGraphicFramePr>
            <xdr:cNvPr id="2" name="Category 1">
              <a:extLst>
                <a:ext uri="{FF2B5EF4-FFF2-40B4-BE49-F238E27FC236}">
                  <a16:creationId xmlns:a16="http://schemas.microsoft.com/office/drawing/2014/main" id="{6E4FB395-7275-4069-1BE1-3330CE821B89}"/>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2446021"/>
              <a:ext cx="1828800" cy="1645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7620</xdr:colOff>
      <xdr:row>13</xdr:row>
      <xdr:rowOff>15241</xdr:rowOff>
    </xdr:from>
    <xdr:to>
      <xdr:col>2</xdr:col>
      <xdr:colOff>1836420</xdr:colOff>
      <xdr:row>22</xdr:row>
      <xdr:rowOff>1</xdr:rowOff>
    </xdr:to>
    <mc:AlternateContent xmlns:mc="http://schemas.openxmlformats.org/markup-compatibility/2006" xmlns:a14="http://schemas.microsoft.com/office/drawing/2010/main">
      <mc:Choice Requires="a14">
        <xdr:graphicFrame macro="">
          <xdr:nvGraphicFramePr>
            <xdr:cNvPr id="3" name="Months (Date) 1">
              <a:extLst>
                <a:ext uri="{FF2B5EF4-FFF2-40B4-BE49-F238E27FC236}">
                  <a16:creationId xmlns:a16="http://schemas.microsoft.com/office/drawing/2014/main" id="{6E50F072-BBE9-5A02-098E-5E55CD7B83E8}"/>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2240280" y="2453641"/>
              <a:ext cx="1828800" cy="1630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121920</xdr:colOff>
      <xdr:row>12</xdr:row>
      <xdr:rowOff>7621</xdr:rowOff>
    </xdr:from>
    <xdr:to>
      <xdr:col>1</xdr:col>
      <xdr:colOff>960120</xdr:colOff>
      <xdr:row>17</xdr:row>
      <xdr:rowOff>175261</xdr:rowOff>
    </xdr:to>
    <mc:AlternateContent xmlns:mc="http://schemas.openxmlformats.org/markup-compatibility/2006" xmlns:a14="http://schemas.microsoft.com/office/drawing/2010/main">
      <mc:Choice Requires="a14">
        <xdr:graphicFrame macro="">
          <xdr:nvGraphicFramePr>
            <xdr:cNvPr id="3" name="Type">
              <a:extLst>
                <a:ext uri="{FF2B5EF4-FFF2-40B4-BE49-F238E27FC236}">
                  <a16:creationId xmlns:a16="http://schemas.microsoft.com/office/drawing/2014/main" id="{5617D359-1A27-731F-76D1-3AE88AE7F55F}"/>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21920" y="2263141"/>
              <a:ext cx="1828800" cy="1082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1318260</xdr:colOff>
      <xdr:row>11</xdr:row>
      <xdr:rowOff>167641</xdr:rowOff>
    </xdr:from>
    <xdr:to>
      <xdr:col>2</xdr:col>
      <xdr:colOff>220980</xdr:colOff>
      <xdr:row>18</xdr:row>
      <xdr:rowOff>1</xdr:rowOff>
    </xdr:to>
    <mc:AlternateContent xmlns:mc="http://schemas.openxmlformats.org/markup-compatibility/2006" xmlns:a14="http://schemas.microsoft.com/office/drawing/2010/main">
      <mc:Choice Requires="a14">
        <xdr:graphicFrame macro="">
          <xdr:nvGraphicFramePr>
            <xdr:cNvPr id="4" name="Months (Date) 3">
              <a:extLst>
                <a:ext uri="{FF2B5EF4-FFF2-40B4-BE49-F238E27FC236}">
                  <a16:creationId xmlns:a16="http://schemas.microsoft.com/office/drawing/2014/main" id="{DDF21E77-8A01-F8AE-C948-CE9865B28A58}"/>
                </a:ext>
              </a:extLst>
            </xdr:cNvPr>
            <xdr:cNvGraphicFramePr/>
          </xdr:nvGraphicFramePr>
          <xdr:xfrm>
            <a:off x="0" y="0"/>
            <a:ext cx="0" cy="0"/>
          </xdr:xfrm>
          <a:graphic>
            <a:graphicData uri="http://schemas.microsoft.com/office/drawing/2010/slicer">
              <sle:slicer xmlns:sle="http://schemas.microsoft.com/office/drawing/2010/slicer" name="Months (Date) 3"/>
            </a:graphicData>
          </a:graphic>
        </xdr:graphicFrame>
      </mc:Choice>
      <mc:Fallback xmlns="">
        <xdr:sp macro="" textlink="">
          <xdr:nvSpPr>
            <xdr:cNvPr id="0" name=""/>
            <xdr:cNvSpPr>
              <a:spLocks noTextEdit="1"/>
            </xdr:cNvSpPr>
          </xdr:nvSpPr>
          <xdr:spPr>
            <a:xfrm>
              <a:off x="2308860" y="2240281"/>
              <a:ext cx="1828800" cy="1112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45720</xdr:colOff>
      <xdr:row>3</xdr:row>
      <xdr:rowOff>99060</xdr:rowOff>
    </xdr:from>
    <xdr:to>
      <xdr:col>6</xdr:col>
      <xdr:colOff>289560</xdr:colOff>
      <xdr:row>8</xdr:row>
      <xdr:rowOff>160020</xdr:rowOff>
    </xdr:to>
    <xdr:sp macro="" textlink="'KPI Calculations'!B2">
      <xdr:nvSpPr>
        <xdr:cNvPr id="2" name="Rectangle: Rounded Corners 1">
          <a:extLst>
            <a:ext uri="{FF2B5EF4-FFF2-40B4-BE49-F238E27FC236}">
              <a16:creationId xmlns:a16="http://schemas.microsoft.com/office/drawing/2014/main" id="{774F6221-92AE-165A-01B0-3AEC7EEEB626}"/>
            </a:ext>
          </a:extLst>
        </xdr:cNvPr>
        <xdr:cNvSpPr/>
      </xdr:nvSpPr>
      <xdr:spPr>
        <a:xfrm>
          <a:off x="1874520" y="647700"/>
          <a:ext cx="2072640" cy="975360"/>
        </a:xfrm>
        <a:prstGeom prst="roundRect">
          <a:avLst/>
        </a:prstGeom>
        <a:solidFill>
          <a:srgbClr val="89CFF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baseline="0">
              <a:solidFill>
                <a:srgbClr val="000000"/>
              </a:solidFill>
              <a:latin typeface="Gadugi" panose="020B0502040204020203" pitchFamily="34" charset="0"/>
              <a:ea typeface="Gadugi" panose="020B0502040204020203" pitchFamily="34" charset="0"/>
              <a:cs typeface="Segoe UI" panose="020B0502040204020203" pitchFamily="34" charset="0"/>
            </a:rPr>
            <a:t>Total Income</a:t>
          </a:r>
        </a:p>
        <a:p>
          <a:pPr algn="l"/>
          <a:endParaRPr lang="en-US" sz="1100" b="0" i="0" u="none" strike="noStrike" baseline="0">
            <a:solidFill>
              <a:srgbClr val="000000"/>
            </a:solidFill>
            <a:latin typeface="Calibri"/>
            <a:ea typeface="Calibri"/>
            <a:cs typeface="Calibri"/>
          </a:endParaRPr>
        </a:p>
        <a:p>
          <a:pPr algn="l"/>
          <a:r>
            <a:rPr lang="en-US" sz="1200" b="1" i="0" u="none" strike="noStrike" baseline="0">
              <a:solidFill>
                <a:srgbClr val="000000"/>
              </a:solidFill>
              <a:latin typeface="Calibri"/>
              <a:ea typeface="Calibri"/>
              <a:cs typeface="Calibri"/>
            </a:rPr>
            <a:t>                 </a:t>
          </a:r>
          <a:fld id="{E8A34C2F-C212-4525-8384-1A9F6253C597}" type="TxLink">
            <a:rPr lang="en-US" sz="1600" b="1" i="0" u="none" strike="noStrike" baseline="0">
              <a:solidFill>
                <a:srgbClr val="000000"/>
              </a:solidFill>
              <a:latin typeface="Gadugi" panose="020B0502040204020203" pitchFamily="34" charset="0"/>
              <a:ea typeface="Gadugi" panose="020B0502040204020203" pitchFamily="34" charset="0"/>
              <a:cs typeface="Cascadia Mono" panose="020B0609020000020004" pitchFamily="49" charset="0"/>
            </a:rPr>
            <a:pPr algn="l"/>
            <a:t>₹ 26,39,429</a:t>
          </a:fld>
          <a:endParaRPr lang="en-IN" sz="1600" b="1">
            <a:latin typeface="Gadugi" panose="020B0502040204020203" pitchFamily="34" charset="0"/>
            <a:ea typeface="Gadugi" panose="020B0502040204020203" pitchFamily="34" charset="0"/>
            <a:cs typeface="Cascadia Mono" panose="020B0609020000020004" pitchFamily="49" charset="0"/>
          </a:endParaRPr>
        </a:p>
      </xdr:txBody>
    </xdr:sp>
    <xdr:clientData/>
  </xdr:twoCellAnchor>
  <xdr:twoCellAnchor>
    <xdr:from>
      <xdr:col>0</xdr:col>
      <xdr:colOff>0</xdr:colOff>
      <xdr:row>0</xdr:row>
      <xdr:rowOff>0</xdr:rowOff>
    </xdr:from>
    <xdr:to>
      <xdr:col>17</xdr:col>
      <xdr:colOff>0</xdr:colOff>
      <xdr:row>3</xdr:row>
      <xdr:rowOff>0</xdr:rowOff>
    </xdr:to>
    <xdr:sp macro="" textlink="">
      <xdr:nvSpPr>
        <xdr:cNvPr id="3" name="Rectangle 2">
          <a:extLst>
            <a:ext uri="{FF2B5EF4-FFF2-40B4-BE49-F238E27FC236}">
              <a16:creationId xmlns:a16="http://schemas.microsoft.com/office/drawing/2014/main" id="{41DBBCEA-89C5-2E5F-5643-303B240FAA38}"/>
            </a:ext>
          </a:extLst>
        </xdr:cNvPr>
        <xdr:cNvSpPr/>
      </xdr:nvSpPr>
      <xdr:spPr>
        <a:xfrm>
          <a:off x="0" y="0"/>
          <a:ext cx="10363200" cy="548640"/>
        </a:xfrm>
        <a:prstGeom prst="rect">
          <a:avLst/>
        </a:prstGeom>
        <a:solidFill>
          <a:srgbClr val="0066FF"/>
        </a:solidFill>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2400" b="1">
              <a:latin typeface="Microsoft YaHei UI" panose="020B0503020204020204" pitchFamily="34" charset="-122"/>
              <a:ea typeface="Microsoft YaHei UI" panose="020B0503020204020204" pitchFamily="34" charset="-122"/>
            </a:rPr>
            <a:t>Personal Expense Tracker</a:t>
          </a:r>
          <a:r>
            <a:rPr lang="en-IN" sz="2400" b="1" baseline="0">
              <a:latin typeface="Microsoft YaHei UI" panose="020B0503020204020204" pitchFamily="34" charset="-122"/>
              <a:ea typeface="Microsoft YaHei UI" panose="020B0503020204020204" pitchFamily="34" charset="-122"/>
            </a:rPr>
            <a:t> Dashboard</a:t>
          </a:r>
          <a:endParaRPr lang="en-IN" sz="2400" b="1">
            <a:latin typeface="Microsoft YaHei UI" panose="020B0503020204020204" pitchFamily="34" charset="-122"/>
            <a:ea typeface="Microsoft YaHei UI" panose="020B0503020204020204" pitchFamily="34" charset="-122"/>
          </a:endParaRPr>
        </a:p>
      </xdr:txBody>
    </xdr:sp>
    <xdr:clientData/>
  </xdr:twoCellAnchor>
  <xdr:twoCellAnchor editAs="oneCell">
    <xdr:from>
      <xdr:col>3</xdr:col>
      <xdr:colOff>190500</xdr:colOff>
      <xdr:row>5</xdr:row>
      <xdr:rowOff>160020</xdr:rowOff>
    </xdr:from>
    <xdr:to>
      <xdr:col>3</xdr:col>
      <xdr:colOff>533400</xdr:colOff>
      <xdr:row>7</xdr:row>
      <xdr:rowOff>129540</xdr:rowOff>
    </xdr:to>
    <xdr:pic>
      <xdr:nvPicPr>
        <xdr:cNvPr id="11" name="Graphic 10" descr="Money with solid fill">
          <a:extLst>
            <a:ext uri="{FF2B5EF4-FFF2-40B4-BE49-F238E27FC236}">
              <a16:creationId xmlns:a16="http://schemas.microsoft.com/office/drawing/2014/main" id="{F23DE209-1E78-6CF8-D1DE-3EE5FFC95A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19300" y="1074420"/>
          <a:ext cx="342900" cy="335280"/>
        </a:xfrm>
        <a:prstGeom prst="rect">
          <a:avLst/>
        </a:prstGeom>
      </xdr:spPr>
    </xdr:pic>
    <xdr:clientData/>
  </xdr:twoCellAnchor>
  <xdr:twoCellAnchor>
    <xdr:from>
      <xdr:col>6</xdr:col>
      <xdr:colOff>358140</xdr:colOff>
      <xdr:row>3</xdr:row>
      <xdr:rowOff>91440</xdr:rowOff>
    </xdr:from>
    <xdr:to>
      <xdr:col>9</xdr:col>
      <xdr:colOff>601980</xdr:colOff>
      <xdr:row>8</xdr:row>
      <xdr:rowOff>175260</xdr:rowOff>
    </xdr:to>
    <xdr:sp macro="" textlink="'KPI Calculations'!B3">
      <xdr:nvSpPr>
        <xdr:cNvPr id="12" name="Rectangle: Rounded Corners 11">
          <a:extLst>
            <a:ext uri="{FF2B5EF4-FFF2-40B4-BE49-F238E27FC236}">
              <a16:creationId xmlns:a16="http://schemas.microsoft.com/office/drawing/2014/main" id="{ECDE26D9-1861-4A68-ABA6-312681E298BD}"/>
            </a:ext>
          </a:extLst>
        </xdr:cNvPr>
        <xdr:cNvSpPr/>
      </xdr:nvSpPr>
      <xdr:spPr>
        <a:xfrm>
          <a:off x="4015740" y="640080"/>
          <a:ext cx="2072640" cy="998220"/>
        </a:xfrm>
        <a:prstGeom prst="roundRect">
          <a:avLst>
            <a:gd name="adj" fmla="val 20573"/>
          </a:avLst>
        </a:prstGeom>
        <a:solidFill>
          <a:srgbClr val="F25F54"/>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baseline="0">
              <a:solidFill>
                <a:srgbClr val="000000"/>
              </a:solidFill>
              <a:latin typeface="Gadugi" panose="020B0502040204020203" pitchFamily="34" charset="0"/>
              <a:ea typeface="Gadugi" panose="020B0502040204020203" pitchFamily="34" charset="0"/>
              <a:cs typeface="Calibri"/>
            </a:rPr>
            <a:t>Total Expense</a:t>
          </a:r>
        </a:p>
        <a:p>
          <a:pPr algn="l"/>
          <a:endParaRPr lang="en-US" sz="1100" b="0" i="0" u="none" strike="noStrike" baseline="0">
            <a:solidFill>
              <a:srgbClr val="000000"/>
            </a:solidFill>
            <a:latin typeface="Calibri"/>
            <a:ea typeface="Calibri"/>
            <a:cs typeface="Calibri"/>
          </a:endParaRPr>
        </a:p>
        <a:p>
          <a:pPr algn="l"/>
          <a:r>
            <a:rPr lang="en-US" sz="1100" b="0" i="0" u="none" strike="noStrike" baseline="0">
              <a:solidFill>
                <a:srgbClr val="000000"/>
              </a:solidFill>
              <a:latin typeface="Calibri"/>
              <a:ea typeface="Calibri"/>
              <a:cs typeface="Calibri"/>
            </a:rPr>
            <a:t>                    </a:t>
          </a:r>
          <a:fld id="{7B84E38C-26C4-4F2B-83EA-5450BDDEFDA7}" type="TxLink">
            <a:rPr lang="en-US" sz="1600" b="1" i="0" u="none" strike="noStrike" baseline="0">
              <a:solidFill>
                <a:srgbClr val="000000"/>
              </a:solidFill>
              <a:latin typeface="Gadugi" panose="020B0502040204020203" pitchFamily="34" charset="0"/>
              <a:ea typeface="Gadugi" panose="020B0502040204020203" pitchFamily="34" charset="0"/>
              <a:cs typeface="Calibri"/>
            </a:rPr>
            <a:pPr algn="l"/>
            <a:t>₹ 24,87,868</a:t>
          </a:fld>
          <a:endParaRPr lang="en-IN" sz="1600" b="1">
            <a:latin typeface="Gadugi" panose="020B0502040204020203" pitchFamily="34" charset="0"/>
            <a:ea typeface="Gadugi" panose="020B0502040204020203" pitchFamily="34" charset="0"/>
            <a:cs typeface="Cascadia Mono" panose="020B0609020000020004" pitchFamily="49" charset="0"/>
          </a:endParaRPr>
        </a:p>
      </xdr:txBody>
    </xdr:sp>
    <xdr:clientData/>
  </xdr:twoCellAnchor>
  <xdr:twoCellAnchor>
    <xdr:from>
      <xdr:col>10</xdr:col>
      <xdr:colOff>60960</xdr:colOff>
      <xdr:row>3</xdr:row>
      <xdr:rowOff>91440</xdr:rowOff>
    </xdr:from>
    <xdr:to>
      <xdr:col>13</xdr:col>
      <xdr:colOff>304800</xdr:colOff>
      <xdr:row>8</xdr:row>
      <xdr:rowOff>152400</xdr:rowOff>
    </xdr:to>
    <xdr:sp macro="" textlink="'KPI Calculations'!B4">
      <xdr:nvSpPr>
        <xdr:cNvPr id="13" name="Rectangle: Rounded Corners 12">
          <a:extLst>
            <a:ext uri="{FF2B5EF4-FFF2-40B4-BE49-F238E27FC236}">
              <a16:creationId xmlns:a16="http://schemas.microsoft.com/office/drawing/2014/main" id="{69544F3F-B826-4BFD-9BA4-DFAA1923C451}"/>
            </a:ext>
          </a:extLst>
        </xdr:cNvPr>
        <xdr:cNvSpPr/>
      </xdr:nvSpPr>
      <xdr:spPr>
        <a:xfrm>
          <a:off x="6156960" y="640080"/>
          <a:ext cx="2072640" cy="975360"/>
        </a:xfrm>
        <a:prstGeom prst="roundRect">
          <a:avLst/>
        </a:prstGeom>
        <a:solidFill>
          <a:srgbClr val="6BD955"/>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baseline="0">
              <a:solidFill>
                <a:srgbClr val="000000"/>
              </a:solidFill>
              <a:latin typeface="Gadugi" panose="020B0502040204020203" pitchFamily="34" charset="0"/>
              <a:ea typeface="Gadugi" panose="020B0502040204020203" pitchFamily="34" charset="0"/>
              <a:cs typeface="Calibri"/>
            </a:rPr>
            <a:t>Net Savings</a:t>
          </a:r>
        </a:p>
        <a:p>
          <a:pPr algn="l"/>
          <a:endParaRPr lang="en-US" sz="1100" b="0" i="0" u="none" strike="noStrike" baseline="0">
            <a:solidFill>
              <a:srgbClr val="000000"/>
            </a:solidFill>
            <a:latin typeface="Calibri"/>
            <a:ea typeface="Calibri"/>
            <a:cs typeface="Calibri"/>
          </a:endParaRPr>
        </a:p>
        <a:p>
          <a:pPr algn="l"/>
          <a:r>
            <a:rPr lang="en-US" sz="1100" b="0" i="0" u="none" strike="noStrike" baseline="0">
              <a:solidFill>
                <a:srgbClr val="000000"/>
              </a:solidFill>
              <a:latin typeface="Calibri"/>
              <a:ea typeface="Calibri"/>
              <a:cs typeface="Calibri"/>
            </a:rPr>
            <a:t>                       </a:t>
          </a:r>
          <a:fld id="{89D597D7-58D5-4D2F-BA3F-86FF9F7AB903}" type="TxLink">
            <a:rPr lang="en-US" sz="1600" b="1" i="0" u="none" strike="noStrike" baseline="0">
              <a:solidFill>
                <a:srgbClr val="000000"/>
              </a:solidFill>
              <a:latin typeface="Gadugi" panose="020B0502040204020203" pitchFamily="34" charset="0"/>
              <a:ea typeface="Gadugi" panose="020B0502040204020203" pitchFamily="34" charset="0"/>
              <a:cs typeface="Calibri"/>
            </a:rPr>
            <a:pPr algn="l"/>
            <a:t>₹ 1,51,561</a:t>
          </a:fld>
          <a:endParaRPr lang="en-IN" sz="1600" b="1">
            <a:latin typeface="Gadugi" panose="020B0502040204020203" pitchFamily="34" charset="0"/>
            <a:ea typeface="Gadugi" panose="020B0502040204020203" pitchFamily="34" charset="0"/>
            <a:cs typeface="Cascadia Mono" panose="020B0609020000020004" pitchFamily="49" charset="0"/>
          </a:endParaRPr>
        </a:p>
      </xdr:txBody>
    </xdr:sp>
    <xdr:clientData/>
  </xdr:twoCellAnchor>
  <xdr:twoCellAnchor>
    <xdr:from>
      <xdr:col>13</xdr:col>
      <xdr:colOff>381000</xdr:colOff>
      <xdr:row>3</xdr:row>
      <xdr:rowOff>91440</xdr:rowOff>
    </xdr:from>
    <xdr:to>
      <xdr:col>17</xdr:col>
      <xdr:colOff>15240</xdr:colOff>
      <xdr:row>8</xdr:row>
      <xdr:rowOff>152400</xdr:rowOff>
    </xdr:to>
    <xdr:sp macro="" textlink="'KPI Calculations'!B5">
      <xdr:nvSpPr>
        <xdr:cNvPr id="14" name="Rectangle: Rounded Corners 13">
          <a:extLst>
            <a:ext uri="{FF2B5EF4-FFF2-40B4-BE49-F238E27FC236}">
              <a16:creationId xmlns:a16="http://schemas.microsoft.com/office/drawing/2014/main" id="{48413536-BC24-4278-98AF-C086601F4D4D}"/>
            </a:ext>
          </a:extLst>
        </xdr:cNvPr>
        <xdr:cNvSpPr/>
      </xdr:nvSpPr>
      <xdr:spPr>
        <a:xfrm>
          <a:off x="8305800" y="640080"/>
          <a:ext cx="2072640" cy="975360"/>
        </a:xfrm>
        <a:prstGeom prst="roundRect">
          <a:avLst/>
        </a:prstGeom>
        <a:solidFill>
          <a:srgbClr val="BC62D4"/>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baseline="0">
              <a:solidFill>
                <a:srgbClr val="000000"/>
              </a:solidFill>
              <a:latin typeface="Gadugi" panose="020B0502040204020203" pitchFamily="34" charset="0"/>
              <a:ea typeface="Gadugi" panose="020B0502040204020203" pitchFamily="34" charset="0"/>
              <a:cs typeface="Calibri"/>
            </a:rPr>
            <a:t>Savings Rate (%)</a:t>
          </a:r>
          <a:r>
            <a:rPr lang="en-US" sz="1100" b="0" i="0" u="none" strike="noStrike" baseline="0">
              <a:solidFill>
                <a:srgbClr val="000000"/>
              </a:solidFill>
              <a:latin typeface="Calibri"/>
              <a:ea typeface="Calibri"/>
              <a:cs typeface="Calibri"/>
            </a:rPr>
            <a:t>                                                            </a:t>
          </a:r>
        </a:p>
        <a:p>
          <a:pPr algn="l"/>
          <a:endParaRPr lang="en-US" sz="1100" b="0" i="0" u="none" strike="noStrike" baseline="0">
            <a:solidFill>
              <a:srgbClr val="000000"/>
            </a:solidFill>
            <a:latin typeface="Calibri"/>
            <a:ea typeface="Calibri"/>
            <a:cs typeface="Calibri"/>
          </a:endParaRPr>
        </a:p>
        <a:p>
          <a:pPr algn="l"/>
          <a:r>
            <a:rPr lang="en-US" sz="1100" b="0" i="0" u="none" strike="noStrike" baseline="0">
              <a:solidFill>
                <a:srgbClr val="000000"/>
              </a:solidFill>
              <a:latin typeface="Calibri"/>
              <a:ea typeface="Calibri"/>
              <a:cs typeface="Calibri"/>
            </a:rPr>
            <a:t>                          </a:t>
          </a:r>
          <a:fld id="{DF00DA4B-D4A2-4B21-9692-210C0F9819E6}" type="TxLink">
            <a:rPr lang="en-US" sz="1600" b="1" i="0" u="none" strike="noStrike" baseline="0">
              <a:solidFill>
                <a:srgbClr val="000000"/>
              </a:solidFill>
              <a:latin typeface="Gadugi" panose="020B0502040204020203" pitchFamily="34" charset="0"/>
              <a:ea typeface="Gadugi" panose="020B0502040204020203" pitchFamily="34" charset="0"/>
              <a:cs typeface="Calibri"/>
            </a:rPr>
            <a:pPr algn="l"/>
            <a:t>5.74%</a:t>
          </a:fld>
          <a:endParaRPr lang="en-IN" sz="1600" b="1">
            <a:latin typeface="Gadugi" panose="020B0502040204020203" pitchFamily="34" charset="0"/>
            <a:ea typeface="Gadugi" panose="020B0502040204020203" pitchFamily="34" charset="0"/>
            <a:cs typeface="Cascadia Mono" panose="020B0609020000020004" pitchFamily="49" charset="0"/>
          </a:endParaRPr>
        </a:p>
      </xdr:txBody>
    </xdr:sp>
    <xdr:clientData/>
  </xdr:twoCellAnchor>
  <xdr:twoCellAnchor editAs="oneCell">
    <xdr:from>
      <xdr:col>6</xdr:col>
      <xdr:colOff>449579</xdr:colOff>
      <xdr:row>5</xdr:row>
      <xdr:rowOff>160020</xdr:rowOff>
    </xdr:from>
    <xdr:to>
      <xdr:col>7</xdr:col>
      <xdr:colOff>281940</xdr:colOff>
      <xdr:row>7</xdr:row>
      <xdr:rowOff>175260</xdr:rowOff>
    </xdr:to>
    <xdr:pic>
      <xdr:nvPicPr>
        <xdr:cNvPr id="16" name="Graphic 15" descr="Downward trend graph with solid fill">
          <a:extLst>
            <a:ext uri="{FF2B5EF4-FFF2-40B4-BE49-F238E27FC236}">
              <a16:creationId xmlns:a16="http://schemas.microsoft.com/office/drawing/2014/main" id="{0B929CCD-73E8-2205-38E6-D1DB3CF01BD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107179" y="1074420"/>
          <a:ext cx="441961" cy="381000"/>
        </a:xfrm>
        <a:prstGeom prst="rect">
          <a:avLst/>
        </a:prstGeom>
      </xdr:spPr>
    </xdr:pic>
    <xdr:clientData/>
  </xdr:twoCellAnchor>
  <xdr:twoCellAnchor editAs="oneCell">
    <xdr:from>
      <xdr:col>10</xdr:col>
      <xdr:colOff>175260</xdr:colOff>
      <xdr:row>5</xdr:row>
      <xdr:rowOff>99060</xdr:rowOff>
    </xdr:from>
    <xdr:to>
      <xdr:col>11</xdr:col>
      <xdr:colOff>45720</xdr:colOff>
      <xdr:row>7</xdr:row>
      <xdr:rowOff>175260</xdr:rowOff>
    </xdr:to>
    <xdr:pic>
      <xdr:nvPicPr>
        <xdr:cNvPr id="18" name="Graphic 17" descr="Piggy Bank with solid fill">
          <a:extLst>
            <a:ext uri="{FF2B5EF4-FFF2-40B4-BE49-F238E27FC236}">
              <a16:creationId xmlns:a16="http://schemas.microsoft.com/office/drawing/2014/main" id="{59491C56-ECB0-942B-300A-1F093F9D6CA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271260" y="1013460"/>
          <a:ext cx="480060" cy="441960"/>
        </a:xfrm>
        <a:prstGeom prst="rect">
          <a:avLst/>
        </a:prstGeom>
      </xdr:spPr>
    </xdr:pic>
    <xdr:clientData/>
  </xdr:twoCellAnchor>
  <xdr:twoCellAnchor editAs="oneCell">
    <xdr:from>
      <xdr:col>13</xdr:col>
      <xdr:colOff>480060</xdr:colOff>
      <xdr:row>5</xdr:row>
      <xdr:rowOff>129540</xdr:rowOff>
    </xdr:from>
    <xdr:to>
      <xdr:col>14</xdr:col>
      <xdr:colOff>358140</xdr:colOff>
      <xdr:row>8</xdr:row>
      <xdr:rowOff>7620</xdr:rowOff>
    </xdr:to>
    <xdr:pic>
      <xdr:nvPicPr>
        <xdr:cNvPr id="20" name="Graphic 19" descr="Bar chart with solid fill">
          <a:extLst>
            <a:ext uri="{FF2B5EF4-FFF2-40B4-BE49-F238E27FC236}">
              <a16:creationId xmlns:a16="http://schemas.microsoft.com/office/drawing/2014/main" id="{3B6F2C00-93DD-DD95-E982-F117CD068AB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404860" y="1043940"/>
          <a:ext cx="487680" cy="426720"/>
        </a:xfrm>
        <a:prstGeom prst="rect">
          <a:avLst/>
        </a:prstGeom>
      </xdr:spPr>
    </xdr:pic>
    <xdr:clientData/>
  </xdr:twoCellAnchor>
  <xdr:twoCellAnchor>
    <xdr:from>
      <xdr:col>3</xdr:col>
      <xdr:colOff>99060</xdr:colOff>
      <xdr:row>9</xdr:row>
      <xdr:rowOff>53340</xdr:rowOff>
    </xdr:from>
    <xdr:to>
      <xdr:col>10</xdr:col>
      <xdr:colOff>121920</xdr:colOff>
      <xdr:row>20</xdr:row>
      <xdr:rowOff>60960</xdr:rowOff>
    </xdr:to>
    <xdr:graphicFrame macro="">
      <xdr:nvGraphicFramePr>
        <xdr:cNvPr id="21" name="Chart 20">
          <a:extLst>
            <a:ext uri="{FF2B5EF4-FFF2-40B4-BE49-F238E27FC236}">
              <a16:creationId xmlns:a16="http://schemas.microsoft.com/office/drawing/2014/main" id="{0B78F4F3-81A5-45E1-84D1-363CD31F0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22860</xdr:colOff>
      <xdr:row>3</xdr:row>
      <xdr:rowOff>76200</xdr:rowOff>
    </xdr:from>
    <xdr:to>
      <xdr:col>3</xdr:col>
      <xdr:colOff>22860</xdr:colOff>
      <xdr:row>8</xdr:row>
      <xdr:rowOff>76200</xdr:rowOff>
    </xdr:to>
    <mc:AlternateContent xmlns:mc="http://schemas.openxmlformats.org/markup-compatibility/2006" xmlns:a14="http://schemas.microsoft.com/office/drawing/2010/main">
      <mc:Choice Requires="a14">
        <xdr:graphicFrame macro="">
          <xdr:nvGraphicFramePr>
            <xdr:cNvPr id="22" name="Type 1">
              <a:extLst>
                <a:ext uri="{FF2B5EF4-FFF2-40B4-BE49-F238E27FC236}">
                  <a16:creationId xmlns:a16="http://schemas.microsoft.com/office/drawing/2014/main" id="{8E52565B-AD15-4FF3-A1E7-027A007BDDF1}"/>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22860" y="624840"/>
              <a:ext cx="1828800" cy="1051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xdr:colOff>
      <xdr:row>8</xdr:row>
      <xdr:rowOff>121920</xdr:rowOff>
    </xdr:from>
    <xdr:to>
      <xdr:col>3</xdr:col>
      <xdr:colOff>30480</xdr:colOff>
      <xdr:row>15</xdr:row>
      <xdr:rowOff>22860</xdr:rowOff>
    </xdr:to>
    <mc:AlternateContent xmlns:mc="http://schemas.openxmlformats.org/markup-compatibility/2006" xmlns:a14="http://schemas.microsoft.com/office/drawing/2010/main">
      <mc:Choice Requires="a14">
        <xdr:graphicFrame macro="">
          <xdr:nvGraphicFramePr>
            <xdr:cNvPr id="23" name="Months (2025) 4">
              <a:extLst>
                <a:ext uri="{FF2B5EF4-FFF2-40B4-BE49-F238E27FC236}">
                  <a16:creationId xmlns:a16="http://schemas.microsoft.com/office/drawing/2014/main" id="{68A4E2C5-3317-4252-918D-CF8EF8367FD4}"/>
                </a:ext>
              </a:extLst>
            </xdr:cNvPr>
            <xdr:cNvGraphicFramePr/>
          </xdr:nvGraphicFramePr>
          <xdr:xfrm>
            <a:off x="0" y="0"/>
            <a:ext cx="0" cy="0"/>
          </xdr:xfrm>
          <a:graphic>
            <a:graphicData uri="http://schemas.microsoft.com/office/drawing/2010/slicer">
              <sle:slicer xmlns:sle="http://schemas.microsoft.com/office/drawing/2010/slicer" name="Months (2025) 4"/>
            </a:graphicData>
          </a:graphic>
        </xdr:graphicFrame>
      </mc:Choice>
      <mc:Fallback xmlns="">
        <xdr:sp macro="" textlink="">
          <xdr:nvSpPr>
            <xdr:cNvPr id="0" name=""/>
            <xdr:cNvSpPr>
              <a:spLocks noTextEdit="1"/>
            </xdr:cNvSpPr>
          </xdr:nvSpPr>
          <xdr:spPr>
            <a:xfrm>
              <a:off x="30480" y="1584960"/>
              <a:ext cx="1828800" cy="1181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68580</xdr:colOff>
      <xdr:row>0</xdr:row>
      <xdr:rowOff>30480</xdr:rowOff>
    </xdr:from>
    <xdr:to>
      <xdr:col>23</xdr:col>
      <xdr:colOff>175260</xdr:colOff>
      <xdr:row>11</xdr:row>
      <xdr:rowOff>68580</xdr:rowOff>
    </xdr:to>
    <xdr:graphicFrame macro="">
      <xdr:nvGraphicFramePr>
        <xdr:cNvPr id="5" name="Chart 4">
          <a:extLst>
            <a:ext uri="{FF2B5EF4-FFF2-40B4-BE49-F238E27FC236}">
              <a16:creationId xmlns:a16="http://schemas.microsoft.com/office/drawing/2014/main" id="{F71A3EBF-D19E-4A98-8DFA-0306AECE0E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53340</xdr:colOff>
      <xdr:row>11</xdr:row>
      <xdr:rowOff>152400</xdr:rowOff>
    </xdr:from>
    <xdr:to>
      <xdr:col>23</xdr:col>
      <xdr:colOff>144780</xdr:colOff>
      <xdr:row>27</xdr:row>
      <xdr:rowOff>106680</xdr:rowOff>
    </xdr:to>
    <xdr:graphicFrame macro="">
      <xdr:nvGraphicFramePr>
        <xdr:cNvPr id="6" name="Chart 5">
          <a:extLst>
            <a:ext uri="{FF2B5EF4-FFF2-40B4-BE49-F238E27FC236}">
              <a16:creationId xmlns:a16="http://schemas.microsoft.com/office/drawing/2014/main" id="{F7BB616F-DFD8-4F24-AD4E-C3E013CDF6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15240</xdr:colOff>
      <xdr:row>15</xdr:row>
      <xdr:rowOff>76200</xdr:rowOff>
    </xdr:from>
    <xdr:to>
      <xdr:col>3</xdr:col>
      <xdr:colOff>15240</xdr:colOff>
      <xdr:row>21</xdr:row>
      <xdr:rowOff>106680</xdr:rowOff>
    </xdr:to>
    <mc:AlternateContent xmlns:mc="http://schemas.openxmlformats.org/markup-compatibility/2006" xmlns:a14="http://schemas.microsoft.com/office/drawing/2010/main">
      <mc:Choice Requires="a14">
        <xdr:graphicFrame macro="">
          <xdr:nvGraphicFramePr>
            <xdr:cNvPr id="7" name="Category 3">
              <a:extLst>
                <a:ext uri="{FF2B5EF4-FFF2-40B4-BE49-F238E27FC236}">
                  <a16:creationId xmlns:a16="http://schemas.microsoft.com/office/drawing/2014/main" id="{616F2A58-BA41-4B3B-9EE5-87ADE956C474}"/>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5240" y="2819400"/>
              <a:ext cx="1828800" cy="1127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21</xdr:row>
      <xdr:rowOff>152400</xdr:rowOff>
    </xdr:from>
    <xdr:to>
      <xdr:col>3</xdr:col>
      <xdr:colOff>15240</xdr:colOff>
      <xdr:row>27</xdr:row>
      <xdr:rowOff>91440</xdr:rowOff>
    </xdr:to>
    <mc:AlternateContent xmlns:mc="http://schemas.openxmlformats.org/markup-compatibility/2006" xmlns:a14="http://schemas.microsoft.com/office/drawing/2010/main">
      <mc:Choice Requires="a14">
        <xdr:graphicFrame macro="">
          <xdr:nvGraphicFramePr>
            <xdr:cNvPr id="8" name="Category 4">
              <a:extLst>
                <a:ext uri="{FF2B5EF4-FFF2-40B4-BE49-F238E27FC236}">
                  <a16:creationId xmlns:a16="http://schemas.microsoft.com/office/drawing/2014/main" id="{17C05EAD-8339-4FDF-BE1B-1131C86F0CB3}"/>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15240" y="3886200"/>
              <a:ext cx="1828800" cy="10515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198120</xdr:colOff>
      <xdr:row>9</xdr:row>
      <xdr:rowOff>38100</xdr:rowOff>
    </xdr:from>
    <xdr:to>
      <xdr:col>16</xdr:col>
      <xdr:colOff>586740</xdr:colOff>
      <xdr:row>20</xdr:row>
      <xdr:rowOff>45720</xdr:rowOff>
    </xdr:to>
    <xdr:graphicFrame macro="">
      <xdr:nvGraphicFramePr>
        <xdr:cNvPr id="9" name="Chart 8">
          <a:extLst>
            <a:ext uri="{FF2B5EF4-FFF2-40B4-BE49-F238E27FC236}">
              <a16:creationId xmlns:a16="http://schemas.microsoft.com/office/drawing/2014/main" id="{EFA01327-7BCC-404D-BF99-D791BCCAB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213360</xdr:colOff>
      <xdr:row>20</xdr:row>
      <xdr:rowOff>106680</xdr:rowOff>
    </xdr:from>
    <xdr:to>
      <xdr:col>17</xdr:col>
      <xdr:colOff>0</xdr:colOff>
      <xdr:row>27</xdr:row>
      <xdr:rowOff>83820</xdr:rowOff>
    </xdr:to>
    <xdr:graphicFrame macro="">
      <xdr:nvGraphicFramePr>
        <xdr:cNvPr id="4" name="Chart 3">
          <a:extLst>
            <a:ext uri="{FF2B5EF4-FFF2-40B4-BE49-F238E27FC236}">
              <a16:creationId xmlns:a16="http://schemas.microsoft.com/office/drawing/2014/main" id="{E7A6312C-1C8F-474C-9D28-438DAB829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129540</xdr:colOff>
      <xdr:row>20</xdr:row>
      <xdr:rowOff>121920</xdr:rowOff>
    </xdr:from>
    <xdr:to>
      <xdr:col>10</xdr:col>
      <xdr:colOff>152400</xdr:colOff>
      <xdr:row>27</xdr:row>
      <xdr:rowOff>106680</xdr:rowOff>
    </xdr:to>
    <xdr:graphicFrame macro="">
      <xdr:nvGraphicFramePr>
        <xdr:cNvPr id="10" name="Chart 9">
          <a:extLst>
            <a:ext uri="{FF2B5EF4-FFF2-40B4-BE49-F238E27FC236}">
              <a16:creationId xmlns:a16="http://schemas.microsoft.com/office/drawing/2014/main" id="{30FCA912-1E94-47BA-922A-0FBC771F56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15240</xdr:colOff>
      <xdr:row>28</xdr:row>
      <xdr:rowOff>99060</xdr:rowOff>
    </xdr:from>
    <xdr:to>
      <xdr:col>9</xdr:col>
      <xdr:colOff>586740</xdr:colOff>
      <xdr:row>37</xdr:row>
      <xdr:rowOff>137160</xdr:rowOff>
    </xdr:to>
    <xdr:sp macro="" textlink="">
      <xdr:nvSpPr>
        <xdr:cNvPr id="17" name="Rectangle: Rounded Corners 16">
          <a:extLst>
            <a:ext uri="{FF2B5EF4-FFF2-40B4-BE49-F238E27FC236}">
              <a16:creationId xmlns:a16="http://schemas.microsoft.com/office/drawing/2014/main" id="{3B0DD931-BA22-DEE4-EF0B-4E93EFD546B8}"/>
            </a:ext>
          </a:extLst>
        </xdr:cNvPr>
        <xdr:cNvSpPr/>
      </xdr:nvSpPr>
      <xdr:spPr>
        <a:xfrm>
          <a:off x="15240" y="5318760"/>
          <a:ext cx="6057900" cy="1965960"/>
        </a:xfrm>
        <a:prstGeom prst="roundRect">
          <a:avLst/>
        </a:prstGeom>
        <a:solidFill>
          <a:schemeClr val="accent1">
            <a:alpha val="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480060</xdr:colOff>
      <xdr:row>28</xdr:row>
      <xdr:rowOff>121920</xdr:rowOff>
    </xdr:from>
    <xdr:to>
      <xdr:col>21</xdr:col>
      <xdr:colOff>228600</xdr:colOff>
      <xdr:row>37</xdr:row>
      <xdr:rowOff>152400</xdr:rowOff>
    </xdr:to>
    <xdr:sp macro="" textlink="">
      <xdr:nvSpPr>
        <xdr:cNvPr id="19" name="Rectangle: Rounded Corners 18">
          <a:extLst>
            <a:ext uri="{FF2B5EF4-FFF2-40B4-BE49-F238E27FC236}">
              <a16:creationId xmlns:a16="http://schemas.microsoft.com/office/drawing/2014/main" id="{3378383A-4A67-CD8F-80C8-41B74B6F8EF1}"/>
            </a:ext>
          </a:extLst>
        </xdr:cNvPr>
        <xdr:cNvSpPr/>
      </xdr:nvSpPr>
      <xdr:spPr>
        <a:xfrm>
          <a:off x="7185660" y="5341620"/>
          <a:ext cx="5844540" cy="1958340"/>
        </a:xfrm>
        <a:prstGeom prst="roundRect">
          <a:avLst/>
        </a:prstGeom>
        <a:solidFill>
          <a:sysClr val="window" lastClr="FFFFFF">
            <a:alpha val="0"/>
          </a:sys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15240</xdr:colOff>
          <xdr:row>1</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B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IN" sz="1400" b="1" i="0" u="none" strike="noStrike" baseline="0">
                  <a:solidFill>
                    <a:srgbClr val="339966"/>
                  </a:solidFill>
                  <a:latin typeface="Calibri Light"/>
                  <a:ea typeface="Calibri Light"/>
                  <a:cs typeface="Calibri Light"/>
                </a:rPr>
                <a:t>Refresh All Data</a:t>
              </a:r>
            </a:p>
            <a:p>
              <a:pPr algn="ctr" rtl="0">
                <a:defRPr sz="1000"/>
              </a:pPr>
              <a:endParaRPr lang="en-IN" sz="1400" b="1" i="0" u="none" strike="noStrike" baseline="0">
                <a:solidFill>
                  <a:srgbClr val="339966"/>
                </a:solidFill>
                <a:latin typeface="Calibri Light"/>
                <a:ea typeface="Calibri Light"/>
                <a:cs typeface="Calibri Light"/>
              </a:endParaRPr>
            </a:p>
          </xdr:txBody>
        </xdr:sp>
        <xdr:clientData fPrintsWithSheet="0"/>
      </xdr:twoCellAnchor>
    </mc:Choice>
    <mc:Fallback/>
  </mc:AlternateContent>
  <xdr:twoCellAnchor editAs="oneCell">
    <xdr:from>
      <xdr:col>0</xdr:col>
      <xdr:colOff>266700</xdr:colOff>
      <xdr:row>0</xdr:row>
      <xdr:rowOff>15240</xdr:rowOff>
    </xdr:from>
    <xdr:to>
      <xdr:col>0</xdr:col>
      <xdr:colOff>622935</xdr:colOff>
      <xdr:row>1</xdr:row>
      <xdr:rowOff>7620</xdr:rowOff>
    </xdr:to>
    <xdr:pic>
      <xdr:nvPicPr>
        <xdr:cNvPr id="3" name="Graphic 2" descr="Line arrow: Rotate right with solid fill">
          <a:extLst>
            <a:ext uri="{FF2B5EF4-FFF2-40B4-BE49-F238E27FC236}">
              <a16:creationId xmlns:a16="http://schemas.microsoft.com/office/drawing/2014/main" id="{55251292-2545-C3B2-246C-09B670B3B8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6700" y="15240"/>
          <a:ext cx="356235" cy="190500"/>
        </a:xfrm>
        <a:prstGeom prst="rect">
          <a:avLst/>
        </a:prstGeom>
      </xdr:spPr>
    </xdr:pic>
    <xdr:clientData/>
  </xdr:twoCellAnchor>
  <xdr:twoCellAnchor>
    <xdr:from>
      <xdr:col>5</xdr:col>
      <xdr:colOff>243840</xdr:colOff>
      <xdr:row>0</xdr:row>
      <xdr:rowOff>190500</xdr:rowOff>
    </xdr:from>
    <xdr:to>
      <xdr:col>12</xdr:col>
      <xdr:colOff>601980</xdr:colOff>
      <xdr:row>23</xdr:row>
      <xdr:rowOff>121920</xdr:rowOff>
    </xdr:to>
    <xdr:sp macro="" textlink="">
      <xdr:nvSpPr>
        <xdr:cNvPr id="2" name="Rectangle: Rounded Corners 1">
          <a:extLst>
            <a:ext uri="{FF2B5EF4-FFF2-40B4-BE49-F238E27FC236}">
              <a16:creationId xmlns:a16="http://schemas.microsoft.com/office/drawing/2014/main" id="{705A32F4-5D2A-C810-2D9A-1F955D1B4F33}"/>
            </a:ext>
          </a:extLst>
        </xdr:cNvPr>
        <xdr:cNvSpPr/>
      </xdr:nvSpPr>
      <xdr:spPr>
        <a:xfrm>
          <a:off x="8930640" y="190500"/>
          <a:ext cx="4945380" cy="4168140"/>
        </a:xfrm>
        <a:prstGeom prst="roundRect">
          <a:avLst/>
        </a:prstGeom>
        <a:solidFill>
          <a:srgbClr val="89CF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a:t>
          </a:r>
          <a:r>
            <a:rPr lang="en-IN" sz="1200" b="1" u="sng">
              <a:solidFill>
                <a:sysClr val="windowText" lastClr="000000"/>
              </a:solidFill>
            </a:rPr>
            <a:t> Please read the instructions before uploading or entering data</a:t>
          </a:r>
          <a:endParaRPr lang="en-IN" sz="1200" b="1" u="none">
            <a:solidFill>
              <a:sysClr val="windowText" lastClr="000000"/>
            </a:solidFill>
          </a:endParaRPr>
        </a:p>
        <a:p>
          <a:pPr algn="l"/>
          <a:endParaRPr lang="en-IN" sz="1200" b="1" u="none" baseline="0">
            <a:solidFill>
              <a:sysClr val="windowText" lastClr="000000"/>
            </a:solidFill>
          </a:endParaRPr>
        </a:p>
        <a:p>
          <a:pPr algn="l"/>
          <a:r>
            <a:rPr lang="en-IN" sz="1200" b="1">
              <a:solidFill>
                <a:sysClr val="windowText" lastClr="000000"/>
              </a:solidFill>
            </a:rPr>
            <a:t>🔄</a:t>
          </a:r>
          <a:r>
            <a:rPr lang="en-IN" sz="1050" b="1">
              <a:solidFill>
                <a:sysClr val="windowText" lastClr="000000"/>
              </a:solidFill>
            </a:rPr>
            <a:t>When Uploading a New File (CSV/XLSX) :</a:t>
          </a:r>
          <a:endParaRPr lang="en-IN" sz="1050" b="1" u="sng">
            <a:solidFill>
              <a:sysClr val="windowText" lastClr="000000"/>
            </a:solidFill>
          </a:endParaRPr>
        </a:p>
        <a:p>
          <a:pPr algn="l"/>
          <a:r>
            <a:rPr lang="en-IN" sz="1050" b="1" u="none">
              <a:solidFill>
                <a:sysClr val="windowText" lastClr="000000"/>
              </a:solidFill>
            </a:rPr>
            <a:t>1.Clear old data first -&gt; Click on cell A2 -&gt; Press ctrl</a:t>
          </a:r>
          <a:r>
            <a:rPr lang="en-IN" sz="1050" b="1" u="none" baseline="0">
              <a:solidFill>
                <a:sysClr val="windowText" lastClr="000000"/>
              </a:solidFill>
            </a:rPr>
            <a:t> + shift + </a:t>
          </a:r>
          <a:r>
            <a:rPr lang="en-IN" sz="1050" b="1">
              <a:solidFill>
                <a:sysClr val="windowText" lastClr="000000"/>
              </a:solidFill>
            </a:rPr>
            <a:t>↓</a:t>
          </a:r>
          <a:r>
            <a:rPr lang="en-IN" sz="1050">
              <a:solidFill>
                <a:sysClr val="windowText" lastClr="000000"/>
              </a:solidFill>
            </a:rPr>
            <a:t> </a:t>
          </a:r>
          <a:r>
            <a:rPr lang="en-IN" sz="1050" b="1">
              <a:solidFill>
                <a:sysClr val="windowText" lastClr="000000"/>
              </a:solidFill>
            </a:rPr>
            <a:t>-&gt;</a:t>
          </a:r>
          <a:r>
            <a:rPr lang="en-IN" sz="1050" b="1" baseline="0">
              <a:solidFill>
                <a:sysClr val="windowText" lastClr="000000"/>
              </a:solidFill>
            </a:rPr>
            <a:t> Then hit         delete</a:t>
          </a:r>
        </a:p>
        <a:p>
          <a:pPr algn="l"/>
          <a:r>
            <a:rPr lang="en-IN" sz="1050" b="1" u="none" baseline="0">
              <a:solidFill>
                <a:sysClr val="windowText" lastClr="000000"/>
              </a:solidFill>
            </a:rPr>
            <a:t>2.Load new data -&gt; Go to Data -&gt; Get Data -&gt; From text/CSV -&gt; Select your file -&gt; In the preview, choose Load To -&gt; Existing Worksheet -&gt; Set location to A2 </a:t>
          </a:r>
        </a:p>
        <a:p>
          <a:pPr algn="l"/>
          <a:r>
            <a:rPr lang="en-IN" sz="1050" b="1" u="none" baseline="0">
              <a:solidFill>
                <a:sysClr val="windowText" lastClr="000000"/>
              </a:solidFill>
            </a:rPr>
            <a:t>-&gt; Then click OK</a:t>
          </a:r>
        </a:p>
        <a:p>
          <a:pPr algn="l"/>
          <a:endParaRPr lang="en-IN" sz="1050" b="1" u="none" baseline="0">
            <a:solidFill>
              <a:sysClr val="windowText" lastClr="000000"/>
            </a:solidFill>
          </a:endParaRPr>
        </a:p>
        <a:p>
          <a:pPr algn="l"/>
          <a:r>
            <a:rPr lang="en-IN" sz="1100" b="1">
              <a:solidFill>
                <a:sysClr val="windowText" lastClr="000000"/>
              </a:solidFill>
            </a:rPr>
            <a:t>✍ When Entering Data Manually:</a:t>
          </a:r>
        </a:p>
        <a:p>
          <a:pPr algn="l"/>
          <a:r>
            <a:rPr lang="en-IN" sz="1050" b="1" u="none">
              <a:solidFill>
                <a:sysClr val="windowText" lastClr="000000"/>
              </a:solidFill>
            </a:rPr>
            <a:t>1.</a:t>
          </a:r>
          <a:r>
            <a:rPr lang="en-IN" sz="1050" b="1">
              <a:solidFill>
                <a:sysClr val="windowText" lastClr="000000"/>
              </a:solidFill>
            </a:rPr>
            <a:t>Keep the column headers exactly in row 2</a:t>
          </a:r>
        </a:p>
        <a:p>
          <a:pPr algn="l"/>
          <a:r>
            <a:rPr lang="en-IN" sz="1050" b="1" u="none">
              <a:solidFill>
                <a:sysClr val="windowText" lastClr="000000"/>
              </a:solidFill>
            </a:rPr>
            <a:t>2.</a:t>
          </a:r>
          <a:r>
            <a:rPr lang="en-IN" sz="1050" b="1">
              <a:solidFill>
                <a:sysClr val="windowText" lastClr="000000"/>
              </a:solidFill>
            </a:rPr>
            <a:t>Start typing new transactions from row 3</a:t>
          </a:r>
        </a:p>
        <a:p>
          <a:pPr algn="l"/>
          <a:endParaRPr lang="en-IN" sz="1050" b="1">
            <a:solidFill>
              <a:sysClr val="windowText" lastClr="000000"/>
            </a:solidFill>
          </a:endParaRPr>
        </a:p>
        <a:p>
          <a:pPr algn="l"/>
          <a:r>
            <a:rPr lang="en-IN" sz="1100" b="1">
              <a:solidFill>
                <a:sysClr val="windowText" lastClr="000000"/>
              </a:solidFill>
            </a:rPr>
            <a:t>🛠</a:t>
          </a:r>
          <a:r>
            <a:rPr lang="en-IN" sz="1100"/>
            <a:t> </a:t>
          </a:r>
          <a:r>
            <a:rPr lang="en-IN" sz="1100" b="1">
              <a:solidFill>
                <a:sysClr val="windowText" lastClr="000000"/>
              </a:solidFill>
            </a:rPr>
            <a:t>Important Checks (to avoid errors):</a:t>
          </a:r>
        </a:p>
        <a:p>
          <a:pPr algn="l"/>
          <a:r>
            <a:rPr lang="en-IN" sz="1100" b="1" u="none">
              <a:solidFill>
                <a:sysClr val="windowText" lastClr="000000"/>
              </a:solidFill>
            </a:rPr>
            <a:t>1.</a:t>
          </a:r>
          <a:r>
            <a:rPr lang="en-IN" sz="1050" b="1">
              <a:solidFill>
                <a:sysClr val="windowText" lastClr="000000"/>
              </a:solidFill>
            </a:rPr>
            <a:t>Column headers must match exactly</a:t>
          </a:r>
          <a:r>
            <a:rPr lang="en-IN" sz="1050" b="1" baseline="0">
              <a:solidFill>
                <a:sysClr val="windowText" lastClr="000000"/>
              </a:solidFill>
            </a:rPr>
            <a:t> -&gt;</a:t>
          </a:r>
        </a:p>
        <a:p>
          <a:pPr marL="0" marR="0" lvl="0" indent="0" algn="l" defTabSz="914400" eaLnBrk="1" fontAlgn="auto" latinLnBrk="0" hangingPunct="1">
            <a:lnSpc>
              <a:spcPct val="100000"/>
            </a:lnSpc>
            <a:spcBef>
              <a:spcPts val="0"/>
            </a:spcBef>
            <a:spcAft>
              <a:spcPts val="0"/>
            </a:spcAft>
            <a:buClrTx/>
            <a:buSzTx/>
            <a:buFontTx/>
            <a:buNone/>
            <a:tabLst/>
            <a:defRPr/>
          </a:pPr>
          <a:r>
            <a:rPr lang="en-IN" sz="1050" b="1">
              <a:solidFill>
                <a:sysClr val="windowText" lastClr="000000"/>
              </a:solidFill>
            </a:rPr>
            <a:t>    Date | Amount | Description | Type |</a:t>
          </a:r>
          <a:r>
            <a:rPr lang="en-IN" sz="1050" b="1" baseline="0">
              <a:solidFill>
                <a:sysClr val="windowText" lastClr="000000"/>
              </a:solidFill>
            </a:rPr>
            <a:t> Category</a:t>
          </a:r>
          <a:r>
            <a:rPr lang="en-IN" sz="1050" b="1">
              <a:solidFill>
                <a:sysClr val="windowText" lastClr="000000"/>
              </a:solidFill>
            </a:rPr>
            <a:t> </a:t>
          </a:r>
          <a:r>
            <a:rPr lang="en-IN" sz="1050" b="1" i="1">
              <a:solidFill>
                <a:sysClr val="windowText" lastClr="000000"/>
              </a:solidFill>
            </a:rPr>
            <a:t>(case-sensitive)</a:t>
          </a:r>
        </a:p>
        <a:p>
          <a:pPr marL="0" marR="0" lvl="0" indent="0" algn="l" defTabSz="914400" eaLnBrk="1" fontAlgn="auto" latinLnBrk="0" hangingPunct="1">
            <a:lnSpc>
              <a:spcPct val="100000"/>
            </a:lnSpc>
            <a:spcBef>
              <a:spcPts val="0"/>
            </a:spcBef>
            <a:spcAft>
              <a:spcPts val="0"/>
            </a:spcAft>
            <a:buClrTx/>
            <a:buSzTx/>
            <a:buFontTx/>
            <a:buNone/>
            <a:tabLst/>
            <a:defRPr/>
          </a:pPr>
          <a:r>
            <a:rPr lang="en-IN" sz="1050" b="1" i="0">
              <a:solidFill>
                <a:sysClr val="windowText" lastClr="000000"/>
              </a:solidFill>
            </a:rPr>
            <a:t>2</a:t>
          </a:r>
          <a:r>
            <a:rPr lang="en-IN" sz="1050" b="1" i="1">
              <a:solidFill>
                <a:sysClr val="windowText" lastClr="000000"/>
              </a:solidFill>
            </a:rPr>
            <a:t>.</a:t>
          </a:r>
          <a:r>
            <a:rPr lang="en-IN" sz="1050" b="1">
              <a:solidFill>
                <a:sysClr val="windowText" lastClr="000000"/>
              </a:solidFill>
            </a:rPr>
            <a:t>No merged cells in the data area</a:t>
          </a:r>
          <a:endParaRPr lang="en-IN" sz="1050" b="1" i="1">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IN" sz="1050" b="1" i="0">
              <a:solidFill>
                <a:sysClr val="windowText" lastClr="000000"/>
              </a:solidFill>
            </a:rPr>
            <a:t>3.</a:t>
          </a:r>
          <a:r>
            <a:rPr lang="en-IN" sz="1050" b="1">
              <a:solidFill>
                <a:sysClr val="windowText" lastClr="000000"/>
              </a:solidFill>
            </a:rPr>
            <a:t>Dates must be real Excel dates, not plain text</a:t>
          </a:r>
        </a:p>
        <a:p>
          <a:pPr marL="0" marR="0" lvl="0" indent="0" algn="l" defTabSz="914400" eaLnBrk="1" fontAlgn="auto" latinLnBrk="0" hangingPunct="1">
            <a:lnSpc>
              <a:spcPct val="100000"/>
            </a:lnSpc>
            <a:spcBef>
              <a:spcPts val="0"/>
            </a:spcBef>
            <a:spcAft>
              <a:spcPts val="0"/>
            </a:spcAft>
            <a:buClrTx/>
            <a:buSzTx/>
            <a:buFontTx/>
            <a:buNone/>
            <a:tabLst/>
            <a:defRPr/>
          </a:pPr>
          <a:r>
            <a:rPr lang="en-IN" sz="1050" b="1" i="0">
              <a:solidFill>
                <a:sysClr val="windowText" lastClr="000000"/>
              </a:solidFill>
            </a:rPr>
            <a:t>4.</a:t>
          </a:r>
          <a:r>
            <a:rPr lang="en-IN" sz="1050" b="1">
              <a:solidFill>
                <a:sysClr val="windowText" lastClr="000000"/>
              </a:solidFill>
            </a:rPr>
            <a:t>Amount must be numbers only (no ₹ symbol or extra text)</a:t>
          </a:r>
        </a:p>
        <a:p>
          <a:pPr marL="0" marR="0" lvl="0" indent="0" algn="l" defTabSz="914400" eaLnBrk="1" fontAlgn="auto" latinLnBrk="0" hangingPunct="1">
            <a:lnSpc>
              <a:spcPct val="100000"/>
            </a:lnSpc>
            <a:spcBef>
              <a:spcPts val="0"/>
            </a:spcBef>
            <a:spcAft>
              <a:spcPts val="0"/>
            </a:spcAft>
            <a:buClrTx/>
            <a:buSzTx/>
            <a:buFontTx/>
            <a:buNone/>
            <a:tabLst/>
            <a:defRPr/>
          </a:pPr>
          <a:r>
            <a:rPr lang="en-IN" sz="1050" b="1" i="0">
              <a:solidFill>
                <a:sysClr val="windowText" lastClr="000000"/>
              </a:solidFill>
            </a:rPr>
            <a:t>5.</a:t>
          </a:r>
          <a:r>
            <a:rPr lang="en-IN" sz="1050" b="1">
              <a:solidFill>
                <a:sysClr val="windowText" lastClr="000000"/>
              </a:solidFill>
            </a:rPr>
            <a:t>After uploading or editing → ALWAYS click “Refresh All Data” (top-left ribbon) so the dashboard updates</a:t>
          </a:r>
          <a:endParaRPr lang="en-IN" sz="1050" b="1" i="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IN" sz="1050" b="1">
            <a:solidFill>
              <a:sysClr val="windowText" lastClr="000000"/>
            </a:solidFill>
          </a:endParaRPr>
        </a:p>
        <a:p>
          <a:pPr algn="l"/>
          <a:endParaRPr lang="en-IN" sz="1050" b="1" u="none">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49.864463773149" createdVersion="8" refreshedVersion="8" minRefreshableVersion="3" recordCount="351" xr:uid="{6EDC94F3-447F-4C30-AB4E-E7207A14E20B}">
  <cacheSource type="worksheet">
    <worksheetSource name="tblRawData_1"/>
  </cacheSource>
  <cacheFields count="7">
    <cacheField name="Date" numFmtId="0">
      <sharedItems containsNonDate="0" containsDate="1" containsString="0" containsBlank="1" minDate="2025-01-01T00:00:00" maxDate="2025-06-30T00:00:00" count="155">
        <d v="2025-04-30T00:00:00"/>
        <d v="2025-06-07T00:00:00"/>
        <d v="2025-05-09T00:00:00"/>
        <d v="2025-01-14T00:00:00"/>
        <d v="2025-06-18T00:00:00"/>
        <d v="2025-06-13T00:00:00"/>
        <d v="2025-03-07T00:00:00"/>
        <d v="2025-06-14T00:00:00"/>
        <d v="2025-02-01T00:00:00"/>
        <d v="2025-03-15T00:00:00"/>
        <d v="2025-06-05T00:00:00"/>
        <d v="2025-05-04T00:00:00"/>
        <d v="2025-01-05T00:00:00"/>
        <d v="2025-03-11T00:00:00"/>
        <d v="2025-02-05T00:00:00"/>
        <d v="2025-03-14T00:00:00"/>
        <d v="2025-03-10T00:00:00"/>
        <d v="2025-04-13T00:00:00"/>
        <d v="2025-06-16T00:00:00"/>
        <d v="2025-05-07T00:00:00"/>
        <d v="2025-04-15T00:00:00"/>
        <d v="2025-01-21T00:00:00"/>
        <d v="2025-06-11T00:00:00"/>
        <d v="2025-01-22T00:00:00"/>
        <d v="2025-05-17T00:00:00"/>
        <d v="2025-01-30T00:00:00"/>
        <d v="2025-04-28T00:00:00"/>
        <d v="2025-06-03T00:00:00"/>
        <d v="2025-02-16T00:00:00"/>
        <d v="2025-01-15T00:00:00"/>
        <d v="2025-02-23T00:00:00"/>
        <d v="2025-02-24T00:00:00"/>
        <d v="2025-02-15T00:00:00"/>
        <d v="2025-03-27T00:00:00"/>
        <d v="2025-03-18T00:00:00"/>
        <d v="2025-05-26T00:00:00"/>
        <d v="2025-01-28T00:00:00"/>
        <d v="2025-02-25T00:00:00"/>
        <d v="2025-03-25T00:00:00"/>
        <d v="2025-03-01T00:00:00"/>
        <d v="2025-02-13T00:00:00"/>
        <d v="2025-03-04T00:00:00"/>
        <d v="2025-02-21T00:00:00"/>
        <d v="2025-02-07T00:00:00"/>
        <d v="2025-05-22T00:00:00"/>
        <d v="2025-05-11T00:00:00"/>
        <d v="2025-04-12T00:00:00"/>
        <d v="2025-06-12T00:00:00"/>
        <d v="2025-04-05T00:00:00"/>
        <d v="2025-04-09T00:00:00"/>
        <d v="2025-04-07T00:00:00"/>
        <d v="2025-06-24T00:00:00"/>
        <d v="2025-04-03T00:00:00"/>
        <d v="2025-06-22T00:00:00"/>
        <d v="2025-02-26T00:00:00"/>
        <d v="2025-02-06T00:00:00"/>
        <d v="2025-03-09T00:00:00"/>
        <d v="2025-04-11T00:00:00"/>
        <d v="2025-01-09T00:00:00"/>
        <d v="2025-01-26T00:00:00"/>
        <d v="2025-02-09T00:00:00"/>
        <d v="2025-01-10T00:00:00"/>
        <d v="2025-04-27T00:00:00"/>
        <d v="2025-06-29T00:00:00"/>
        <d v="2025-06-25T00:00:00"/>
        <d v="2025-01-11T00:00:00"/>
        <d v="2025-03-16T00:00:00"/>
        <d v="2025-02-12T00:00:00"/>
        <d v="2025-03-24T00:00:00"/>
        <d v="2025-05-25T00:00:00"/>
        <d v="2025-02-04T00:00:00"/>
        <d v="2025-01-02T00:00:00"/>
        <d v="2025-01-23T00:00:00"/>
        <d v="2025-03-30T00:00:00"/>
        <d v="2025-05-30T00:00:00"/>
        <d v="2025-05-14T00:00:00"/>
        <d v="2025-03-08T00:00:00"/>
        <d v="2025-04-19T00:00:00"/>
        <d v="2025-02-11T00:00:00"/>
        <d v="2025-06-02T00:00:00"/>
        <d v="2025-03-31T00:00:00"/>
        <d v="2025-02-18T00:00:00"/>
        <d v="2025-05-23T00:00:00"/>
        <d v="2025-06-15T00:00:00"/>
        <d v="2025-01-19T00:00:00"/>
        <d v="2025-05-20T00:00:00"/>
        <d v="2025-01-17T00:00:00"/>
        <d v="2025-03-03T00:00:00"/>
        <d v="2025-06-19T00:00:00"/>
        <d v="2025-02-03T00:00:00"/>
        <d v="2025-01-04T00:00:00"/>
        <d v="2025-05-08T00:00:00"/>
        <d v="2025-01-01T00:00:00"/>
        <d v="2025-04-04T00:00:00"/>
        <d v="2025-04-18T00:00:00"/>
        <d v="2025-03-23T00:00:00"/>
        <d v="2025-06-20T00:00:00"/>
        <d v="2025-03-28T00:00:00"/>
        <d v="2025-02-20T00:00:00"/>
        <d v="2025-03-20T00:00:00"/>
        <d v="2025-04-20T00:00:00"/>
        <d v="2025-01-16T00:00:00"/>
        <d v="2025-05-18T00:00:00"/>
        <d v="2025-05-03T00:00:00"/>
        <d v="2025-04-06T00:00:00"/>
        <d v="2025-05-01T00:00:00"/>
        <d v="2025-05-06T00:00:00"/>
        <d v="2025-01-08T00:00:00"/>
        <d v="2025-03-02T00:00:00"/>
        <d v="2025-06-26T00:00:00"/>
        <d v="2025-05-10T00:00:00"/>
        <d v="2025-04-02T00:00:00"/>
        <d v="2025-05-28T00:00:00"/>
        <d v="2025-06-01T00:00:00"/>
        <d v="2025-05-29T00:00:00"/>
        <d v="2025-04-26T00:00:00"/>
        <d v="2025-05-19T00:00:00"/>
        <d v="2025-04-08T00:00:00"/>
        <d v="2025-03-22T00:00:00"/>
        <d v="2025-05-05T00:00:00"/>
        <d v="2025-01-31T00:00:00"/>
        <d v="2025-05-21T00:00:00"/>
        <d v="2025-06-17T00:00:00"/>
        <d v="2025-06-27T00:00:00"/>
        <d v="2025-06-09T00:00:00"/>
        <d v="2025-06-21T00:00:00"/>
        <d v="2025-03-26T00:00:00"/>
        <d v="2025-04-29T00:00:00"/>
        <d v="2025-06-04T00:00:00"/>
        <d v="2025-05-02T00:00:00"/>
        <d v="2025-02-14T00:00:00"/>
        <d v="2025-04-24T00:00:00"/>
        <d v="2025-06-23T00:00:00"/>
        <d v="2025-05-15T00:00:00"/>
        <d v="2025-02-19T00:00:00"/>
        <d v="2025-06-08T00:00:00"/>
        <d v="2025-01-24T00:00:00"/>
        <d v="2025-01-13T00:00:00"/>
        <d v="2025-02-27T00:00:00"/>
        <d v="2025-02-17T00:00:00"/>
        <d v="2025-04-17T00:00:00"/>
        <d v="2025-04-16T00:00:00"/>
        <d v="2025-02-02T00:00:00"/>
        <d v="2025-04-22T00:00:00"/>
        <d v="2025-01-07T00:00:00"/>
        <d v="2025-05-24T00:00:00"/>
        <d v="2025-04-14T00:00:00"/>
        <d v="2025-01-29T00:00:00"/>
        <d v="2025-04-21T00:00:00"/>
        <d v="2025-04-25T00:00:00"/>
        <d v="2025-04-10T00:00:00"/>
        <d v="2025-02-10T00:00:00"/>
        <d v="2025-03-13T00:00:00"/>
        <d v="2025-05-13T00:00:00"/>
        <m/>
      </sharedItems>
      <fieldGroup par="6"/>
    </cacheField>
    <cacheField name="Type" numFmtId="0">
      <sharedItems containsBlank="1" count="3">
        <s v="Income"/>
        <s v="Expense"/>
        <m/>
      </sharedItems>
    </cacheField>
    <cacheField name="Category" numFmtId="0">
      <sharedItems containsBlank="1"/>
    </cacheField>
    <cacheField name="Description" numFmtId="0">
      <sharedItems containsBlank="1"/>
    </cacheField>
    <cacheField name="Amount" numFmtId="0">
      <sharedItems containsString="0" containsBlank="1" containsNumber="1" containsInteger="1" minValue="285" maxValue="48992"/>
    </cacheField>
    <cacheField name="Months (Date)" numFmtId="0" databaseField="0">
      <fieldGroup base="0">
        <rangePr groupBy="months" startDate="2025-01-01T00:00:00" endDate="2025-06-30T00:00:00"/>
        <groupItems count="14">
          <s v="&lt;1-1-25"/>
          <s v="Jan"/>
          <s v="Feb"/>
          <s v="Mar"/>
          <s v="Apr"/>
          <s v="May"/>
          <s v="Jun"/>
          <s v="Jul"/>
          <s v="Aug"/>
          <s v="Sep"/>
          <s v="Oct"/>
          <s v="Nov"/>
          <s v="Dec"/>
          <s v="&gt;30-6-25"/>
        </groupItems>
      </fieldGroup>
    </cacheField>
    <cacheField name="Years (Date)" numFmtId="0" databaseField="0">
      <fieldGroup base="0">
        <rangePr groupBy="years" startDate="2025-01-01T00:00:00" endDate="2025-06-30T00:00:00"/>
        <groupItems count="3">
          <s v="&lt;1-1-25"/>
          <s v="2025"/>
          <s v="&gt;30-6-25"/>
        </groupItems>
      </fieldGroup>
    </cacheField>
  </cacheFields>
  <extLst>
    <ext xmlns:x14="http://schemas.microsoft.com/office/spreadsheetml/2009/9/main" uri="{725AE2AE-9491-48be-B2B4-4EB974FC3084}">
      <x14:pivotCacheDefinition pivotCacheId="174800462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50.174641666665" createdVersion="8" refreshedVersion="8" minRefreshableVersion="3" recordCount="100" xr:uid="{594D2D3B-AF40-4668-B1FB-DFD94B67B630}">
  <cacheSource type="worksheet">
    <worksheetSource name="Income_Data"/>
  </cacheSource>
  <cacheFields count="7">
    <cacheField name="Date" numFmtId="165">
      <sharedItems containsSemiMixedTypes="0" containsNonDate="0" containsDate="1" containsString="0" minDate="2025-01-01T00:00:00" maxDate="2025-06-30T00:00:00" count="79">
        <d v="2025-04-30T00:00:00"/>
        <d v="2025-05-09T00:00:00"/>
        <d v="2025-01-14T00:00:00"/>
        <d v="2025-06-13T00:00:00"/>
        <d v="2025-06-05T00:00:00"/>
        <d v="2025-03-11T00:00:00"/>
        <d v="2025-02-05T00:00:00"/>
        <d v="2025-06-16T00:00:00"/>
        <d v="2025-05-07T00:00:00"/>
        <d v="2025-01-22T00:00:00"/>
        <d v="2025-02-15T00:00:00"/>
        <d v="2025-04-15T00:00:00"/>
        <d v="2025-04-12T00:00:00"/>
        <d v="2025-04-09T00:00:00"/>
        <d v="2025-04-03T00:00:00"/>
        <d v="2025-02-06T00:00:00"/>
        <d v="2025-03-09T00:00:00"/>
        <d v="2025-04-27T00:00:00"/>
        <d v="2025-06-25T00:00:00"/>
        <d v="2025-05-22T00:00:00"/>
        <d v="2025-01-11T00:00:00"/>
        <d v="2025-01-23T00:00:00"/>
        <d v="2025-03-30T00:00:00"/>
        <d v="2025-05-30T00:00:00"/>
        <d v="2025-03-08T00:00:00"/>
        <d v="2025-05-20T00:00:00"/>
        <d v="2025-06-19T00:00:00"/>
        <d v="2025-01-04T00:00:00"/>
        <d v="2025-03-15T00:00:00"/>
        <d v="2025-03-24T00:00:00"/>
        <d v="2025-03-25T00:00:00"/>
        <d v="2025-01-01T00:00:00"/>
        <d v="2025-04-04T00:00:00"/>
        <d v="2025-02-13T00:00:00"/>
        <d v="2025-03-16T00:00:00"/>
        <d v="2025-02-09T00:00:00"/>
        <d v="2025-06-22T00:00:00"/>
        <d v="2025-06-12T00:00:00"/>
        <d v="2025-01-16T00:00:00"/>
        <d v="2025-05-18T00:00:00"/>
        <d v="2025-01-28T00:00:00"/>
        <d v="2025-05-03T00:00:00"/>
        <d v="2025-03-27T00:00:00"/>
        <d v="2025-01-08T00:00:00"/>
        <d v="2025-01-30T00:00:00"/>
        <d v="2025-06-26T00:00:00"/>
        <d v="2025-04-26T00:00:00"/>
        <d v="2025-04-05T00:00:00"/>
        <d v="2025-03-22T00:00:00"/>
        <d v="2025-02-23T00:00:00"/>
        <d v="2025-03-02T00:00:00"/>
        <d v="2025-04-18T00:00:00"/>
        <d v="2025-05-01T00:00:00"/>
        <d v="2025-01-17T00:00:00"/>
        <d v="2025-02-25T00:00:00"/>
        <d v="2025-04-29T00:00:00"/>
        <d v="2025-06-01T00:00:00"/>
        <d v="2025-04-02T00:00:00"/>
        <d v="2025-06-29T00:00:00"/>
        <d v="2025-02-21T00:00:00"/>
        <d v="2025-06-07T00:00:00"/>
        <d v="2025-04-24T00:00:00"/>
        <d v="2025-06-17T00:00:00"/>
        <d v="2025-02-01T00:00:00"/>
        <d v="2025-06-11T00:00:00"/>
        <d v="2025-01-19T00:00:00"/>
        <d v="2025-06-08T00:00:00"/>
        <d v="2025-04-20T00:00:00"/>
        <d v="2025-01-13T00:00:00"/>
        <d v="2025-02-17T00:00:00"/>
        <d v="2025-02-11T00:00:00"/>
        <d v="2025-04-28T00:00:00"/>
        <d v="2025-05-08T00:00:00"/>
        <d v="2025-01-07T00:00:00"/>
        <d v="2025-03-14T00:00:00"/>
        <d v="2025-05-15T00:00:00"/>
        <d v="2025-04-21T00:00:00"/>
        <d v="2025-05-29T00:00:00"/>
        <d v="2025-05-13T00:00:00"/>
      </sharedItems>
      <fieldGroup par="6"/>
    </cacheField>
    <cacheField name="Type" numFmtId="0">
      <sharedItems/>
    </cacheField>
    <cacheField name="Category" numFmtId="0">
      <sharedItems count="5">
        <s v="Investments"/>
        <s v="Passive Income"/>
        <s v="Other"/>
        <s v="Freelance"/>
        <s v="Salary"/>
      </sharedItems>
    </cacheField>
    <cacheField name="Description" numFmtId="0">
      <sharedItems count="15">
        <s v="Mutual Funds"/>
        <s v="Rental Income"/>
        <s v="Birthday Gift"/>
        <s v="Crypto Trading"/>
        <s v="Design Project"/>
        <s v="Royalties"/>
        <s v="Lottery Winnings"/>
        <s v="Stock Dividends"/>
        <s v="Monthly Salary"/>
        <s v="Affiliate Earnings"/>
        <s v="Commission"/>
        <s v="Writing Gig"/>
        <s v="Bonus"/>
        <s v="Tax Refund"/>
        <s v="Consulting Work"/>
      </sharedItems>
    </cacheField>
    <cacheField name="Amount" numFmtId="166">
      <sharedItems containsSemiMixedTypes="0" containsString="0" containsNumber="1" containsInteger="1" minValue="3223" maxValue="48992"/>
    </cacheField>
    <cacheField name="Months (Date)" numFmtId="0" databaseField="0">
      <fieldGroup base="0">
        <rangePr groupBy="months" startDate="2025-01-01T00:00:00" endDate="2025-06-30T00:00:00"/>
        <groupItems count="14">
          <s v="&lt;1-1-25"/>
          <s v="Jan"/>
          <s v="Feb"/>
          <s v="Mar"/>
          <s v="Apr"/>
          <s v="May"/>
          <s v="Jun"/>
          <s v="Jul"/>
          <s v="Aug"/>
          <s v="Sep"/>
          <s v="Oct"/>
          <s v="Nov"/>
          <s v="Dec"/>
          <s v="&gt;30-6-25"/>
        </groupItems>
      </fieldGroup>
    </cacheField>
    <cacheField name="Years (Date)" numFmtId="0" databaseField="0">
      <fieldGroup base="0">
        <rangePr groupBy="years" startDate="2025-01-01T00:00:00" endDate="2025-06-30T00:00:00"/>
        <groupItems count="3">
          <s v="&lt;1-1-25"/>
          <s v="2025"/>
          <s v="&gt;30-6-25"/>
        </groupItems>
      </fieldGroup>
    </cacheField>
  </cacheFields>
  <extLst>
    <ext xmlns:x14="http://schemas.microsoft.com/office/spreadsheetml/2009/9/main" uri="{725AE2AE-9491-48be-B2B4-4EB974FC3084}">
      <x14:pivotCacheDefinition pivotCacheId="120790241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50.207354282407" createdVersion="8" refreshedVersion="8" minRefreshableVersion="3" recordCount="250" xr:uid="{0D18A850-1335-43E6-945D-F11179506D9E}">
  <cacheSource type="worksheet">
    <worksheetSource name="Expense_Data"/>
  </cacheSource>
  <cacheFields count="7">
    <cacheField name="Date" numFmtId="165">
      <sharedItems containsSemiMixedTypes="0" containsNonDate="0" containsDate="1" containsString="0" minDate="2025-01-02T00:00:00" maxDate="2025-06-30T00:00:00" count="136">
        <d v="2025-06-07T00:00:00"/>
        <d v="2025-06-18T00:00:00"/>
        <d v="2025-03-07T00:00:00"/>
        <d v="2025-06-14T00:00:00"/>
        <d v="2025-02-01T00:00:00"/>
        <d v="2025-03-15T00:00:00"/>
        <d v="2025-05-04T00:00:00"/>
        <d v="2025-01-05T00:00:00"/>
        <d v="2025-03-14T00:00:00"/>
        <d v="2025-03-10T00:00:00"/>
        <d v="2025-04-13T00:00:00"/>
        <d v="2025-04-15T00:00:00"/>
        <d v="2025-01-21T00:00:00"/>
        <d v="2025-06-11T00:00:00"/>
        <d v="2025-05-17T00:00:00"/>
        <d v="2025-01-30T00:00:00"/>
        <d v="2025-04-28T00:00:00"/>
        <d v="2025-06-03T00:00:00"/>
        <d v="2025-02-16T00:00:00"/>
        <d v="2025-01-15T00:00:00"/>
        <d v="2025-02-23T00:00:00"/>
        <d v="2025-02-24T00:00:00"/>
        <d v="2025-03-27T00:00:00"/>
        <d v="2025-03-18T00:00:00"/>
        <d v="2025-05-26T00:00:00"/>
        <d v="2025-01-28T00:00:00"/>
        <d v="2025-02-25T00:00:00"/>
        <d v="2025-03-25T00:00:00"/>
        <d v="2025-03-01T00:00:00"/>
        <d v="2025-02-13T00:00:00"/>
        <d v="2025-03-04T00:00:00"/>
        <d v="2025-02-21T00:00:00"/>
        <d v="2025-02-07T00:00:00"/>
        <d v="2025-02-05T00:00:00"/>
        <d v="2025-05-22T00:00:00"/>
        <d v="2025-05-11T00:00:00"/>
        <d v="2025-04-12T00:00:00"/>
        <d v="2025-06-12T00:00:00"/>
        <d v="2025-04-05T00:00:00"/>
        <d v="2025-01-22T00:00:00"/>
        <d v="2025-04-07T00:00:00"/>
        <d v="2025-06-24T00:00:00"/>
        <d v="2025-05-09T00:00:00"/>
        <d v="2025-06-22T00:00:00"/>
        <d v="2025-02-26T00:00:00"/>
        <d v="2025-03-09T00:00:00"/>
        <d v="2025-04-11T00:00:00"/>
        <d v="2025-01-09T00:00:00"/>
        <d v="2025-01-26T00:00:00"/>
        <d v="2025-02-09T00:00:00"/>
        <d v="2025-01-10T00:00:00"/>
        <d v="2025-06-29T00:00:00"/>
        <d v="2025-04-09T00:00:00"/>
        <d v="2025-03-16T00:00:00"/>
        <d v="2025-02-12T00:00:00"/>
        <d v="2025-03-24T00:00:00"/>
        <d v="2025-05-25T00:00:00"/>
        <d v="2025-01-14T00:00:00"/>
        <d v="2025-02-04T00:00:00"/>
        <d v="2025-01-02T00:00:00"/>
        <d v="2025-05-14T00:00:00"/>
        <d v="2025-04-19T00:00:00"/>
        <d v="2025-02-11T00:00:00"/>
        <d v="2025-06-02T00:00:00"/>
        <d v="2025-03-31T00:00:00"/>
        <d v="2025-02-18T00:00:00"/>
        <d v="2025-05-23T00:00:00"/>
        <d v="2025-06-15T00:00:00"/>
        <d v="2025-01-19T00:00:00"/>
        <d v="2025-01-17T00:00:00"/>
        <d v="2025-03-03T00:00:00"/>
        <d v="2025-02-03T00:00:00"/>
        <d v="2025-05-08T00:00:00"/>
        <d v="2025-04-18T00:00:00"/>
        <d v="2025-03-23T00:00:00"/>
        <d v="2025-06-20T00:00:00"/>
        <d v="2025-03-28T00:00:00"/>
        <d v="2025-02-20T00:00:00"/>
        <d v="2025-03-20T00:00:00"/>
        <d v="2025-04-20T00:00:00"/>
        <d v="2025-04-06T00:00:00"/>
        <d v="2025-05-01T00:00:00"/>
        <d v="2025-05-06T00:00:00"/>
        <d v="2025-03-02T00:00:00"/>
        <d v="2025-05-10T00:00:00"/>
        <d v="2025-04-02T00:00:00"/>
        <d v="2025-04-04T00:00:00"/>
        <d v="2025-05-28T00:00:00"/>
        <d v="2025-06-01T00:00:00"/>
        <d v="2025-06-19T00:00:00"/>
        <d v="2025-05-29T00:00:00"/>
        <d v="2025-01-23T00:00:00"/>
        <d v="2025-05-19T00:00:00"/>
        <d v="2025-04-08T00:00:00"/>
        <d v="2025-05-05T00:00:00"/>
        <d v="2025-06-13T00:00:00"/>
        <d v="2025-05-03T00:00:00"/>
        <d v="2025-01-31T00:00:00"/>
        <d v="2025-03-30T00:00:00"/>
        <d v="2025-05-21T00:00:00"/>
        <d v="2025-06-17T00:00:00"/>
        <d v="2025-06-27T00:00:00"/>
        <d v="2025-06-09T00:00:00"/>
        <d v="2025-06-21T00:00:00"/>
        <d v="2025-03-26T00:00:00"/>
        <d v="2025-01-11T00:00:00"/>
        <d v="2025-03-08T00:00:00"/>
        <d v="2025-03-11T00:00:00"/>
        <d v="2025-06-04T00:00:00"/>
        <d v="2025-01-04T00:00:00"/>
        <d v="2025-05-02T00:00:00"/>
        <d v="2025-02-14T00:00:00"/>
        <d v="2025-06-23T00:00:00"/>
        <d v="2025-05-18T00:00:00"/>
        <d v="2025-01-16T00:00:00"/>
        <d v="2025-05-30T00:00:00"/>
        <d v="2025-05-15T00:00:00"/>
        <d v="2025-02-19T00:00:00"/>
        <d v="2025-04-24T00:00:00"/>
        <d v="2025-01-24T00:00:00"/>
        <d v="2025-04-30T00:00:00"/>
        <d v="2025-02-27T00:00:00"/>
        <d v="2025-04-17T00:00:00"/>
        <d v="2025-04-16T00:00:00"/>
        <d v="2025-02-02T00:00:00"/>
        <d v="2025-04-22T00:00:00"/>
        <d v="2025-05-24T00:00:00"/>
        <d v="2025-06-25T00:00:00"/>
        <d v="2025-04-14T00:00:00"/>
        <d v="2025-01-29T00:00:00"/>
        <d v="2025-04-25T00:00:00"/>
        <d v="2025-04-10T00:00:00"/>
        <d v="2025-02-10T00:00:00"/>
        <d v="2025-03-13T00:00:00"/>
        <d v="2025-04-29T00:00:00"/>
        <d v="2025-06-26T00:00:00"/>
      </sharedItems>
      <fieldGroup par="6"/>
    </cacheField>
    <cacheField name="Type" numFmtId="0">
      <sharedItems/>
    </cacheField>
    <cacheField name="Category" numFmtId="0">
      <sharedItems count="12">
        <s v="Health"/>
        <s v="Food"/>
        <s v="Travel"/>
        <s v="Care"/>
        <s v="Education"/>
        <s v="Utilities"/>
        <s v="Entertainment"/>
        <s v="Shopping"/>
        <s v="Misc"/>
        <s v="Housing"/>
        <s v="Debts"/>
        <s v="Transport"/>
      </sharedItems>
    </cacheField>
    <cacheField name="Description" numFmtId="0">
      <sharedItems count="44">
        <s v="Yoga"/>
        <s v="Groceries"/>
        <s v="Flight"/>
        <s v="Skincare"/>
        <s v="Zomato Order"/>
        <s v="Tuition"/>
        <s v="Mobile Recharge"/>
        <s v="Books"/>
        <s v="Workshop"/>
        <s v="Concert"/>
        <s v="Hotel"/>
        <s v="Electronics"/>
        <s v="Movie"/>
        <s v="Charity"/>
        <s v="Games"/>
        <s v="Spa"/>
        <s v="Dining Out"/>
        <s v="Bank Fees"/>
        <s v="Insurance"/>
        <s v="Medicines"/>
        <s v="Mortgage"/>
        <s v="Magazines"/>
        <s v="Loan EMI"/>
        <s v="Uber"/>
        <s v="Doctor"/>
        <s v="Metro"/>
        <s v="Student Loan"/>
        <s v="Rent"/>
        <s v="Haircut"/>
        <s v="Credit Card"/>
        <s v="Gym"/>
        <s v="Clothing"/>
        <s v="Tour Guide"/>
        <s v="Gifts"/>
        <s v="Car Service"/>
        <s v="Internet"/>
        <s v="Petrol"/>
        <s v="Maintenance"/>
        <s v="Water"/>
        <s v="Coffee"/>
        <s v="Electricity"/>
        <s v="Netflix"/>
        <s v="Amazon"/>
        <s v="Course"/>
      </sharedItems>
    </cacheField>
    <cacheField name="Amount" numFmtId="166">
      <sharedItems containsSemiMixedTypes="0" containsString="0" containsNumber="1" containsInteger="1" minValue="285" maxValue="19873"/>
    </cacheField>
    <cacheField name="Months (Date)" numFmtId="0" databaseField="0">
      <fieldGroup base="0">
        <rangePr groupBy="months" startDate="2025-01-02T00:00:00" endDate="2025-06-30T00:00:00"/>
        <groupItems count="14">
          <s v="&lt;2-1-25"/>
          <s v="Jan"/>
          <s v="Feb"/>
          <s v="Mar"/>
          <s v="Apr"/>
          <s v="May"/>
          <s v="Jun"/>
          <s v="Jul"/>
          <s v="Aug"/>
          <s v="Sep"/>
          <s v="Oct"/>
          <s v="Nov"/>
          <s v="Dec"/>
          <s v="&gt;30-6-25"/>
        </groupItems>
      </fieldGroup>
    </cacheField>
    <cacheField name="Years (Date)" numFmtId="0" databaseField="0">
      <fieldGroup base="0">
        <rangePr groupBy="years" startDate="2025-01-02T00:00:00" endDate="2025-06-30T00:00:00"/>
        <groupItems count="3">
          <s v="&lt;2-1-25"/>
          <s v="2025"/>
          <s v="&gt;30-6-25"/>
        </groupItems>
      </fieldGroup>
    </cacheField>
  </cacheFields>
  <extLst>
    <ext xmlns:x14="http://schemas.microsoft.com/office/spreadsheetml/2009/9/main" uri="{725AE2AE-9491-48be-B2B4-4EB974FC3084}">
      <x14:pivotCacheDefinition pivotCacheId="9320854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1">
  <r>
    <x v="0"/>
    <x v="0"/>
    <s v="Investments"/>
    <s v="Mutual Funds"/>
    <n v="38211"/>
  </r>
  <r>
    <x v="1"/>
    <x v="1"/>
    <s v="Health"/>
    <s v="Yoga"/>
    <n v="2941"/>
  </r>
  <r>
    <x v="2"/>
    <x v="0"/>
    <s v="Passive Income"/>
    <s v="Rental Income"/>
    <n v="30867"/>
  </r>
  <r>
    <x v="3"/>
    <x v="0"/>
    <s v="Other"/>
    <s v="Birthday Gift"/>
    <n v="20234"/>
  </r>
  <r>
    <x v="4"/>
    <x v="1"/>
    <s v="Food"/>
    <s v="Groceries"/>
    <n v="9800"/>
  </r>
  <r>
    <x v="5"/>
    <x v="0"/>
    <s v="Investments"/>
    <s v="Crypto Trading"/>
    <n v="19398"/>
  </r>
  <r>
    <x v="6"/>
    <x v="1"/>
    <s v="Travel"/>
    <s v="Flight"/>
    <n v="3341"/>
  </r>
  <r>
    <x v="7"/>
    <x v="1"/>
    <s v="Care"/>
    <s v="Skincare"/>
    <n v="17385"/>
  </r>
  <r>
    <x v="8"/>
    <x v="1"/>
    <s v="Food"/>
    <s v="Zomato Order"/>
    <n v="8257"/>
  </r>
  <r>
    <x v="9"/>
    <x v="1"/>
    <s v="Food"/>
    <s v="Groceries"/>
    <n v="6142"/>
  </r>
  <r>
    <x v="10"/>
    <x v="0"/>
    <s v="Freelance"/>
    <s v="Design Project"/>
    <n v="21787"/>
  </r>
  <r>
    <x v="11"/>
    <x v="1"/>
    <s v="Education"/>
    <s v="Tuition"/>
    <n v="8150"/>
  </r>
  <r>
    <x v="12"/>
    <x v="1"/>
    <s v="Utilities"/>
    <s v="Mobile Recharge"/>
    <n v="11242"/>
  </r>
  <r>
    <x v="13"/>
    <x v="0"/>
    <s v="Freelance"/>
    <s v="Design Project"/>
    <n v="38422"/>
  </r>
  <r>
    <x v="14"/>
    <x v="0"/>
    <s v="Passive Income"/>
    <s v="Royalties"/>
    <n v="3606"/>
  </r>
  <r>
    <x v="15"/>
    <x v="1"/>
    <s v="Education"/>
    <s v="Books"/>
    <n v="18810"/>
  </r>
  <r>
    <x v="16"/>
    <x v="1"/>
    <s v="Education"/>
    <s v="Workshop"/>
    <n v="6035"/>
  </r>
  <r>
    <x v="17"/>
    <x v="1"/>
    <s v="Entertainment"/>
    <s v="Concert"/>
    <n v="19162"/>
  </r>
  <r>
    <x v="18"/>
    <x v="0"/>
    <s v="Other"/>
    <s v="Birthday Gift"/>
    <n v="31442"/>
  </r>
  <r>
    <x v="19"/>
    <x v="0"/>
    <s v="Passive Income"/>
    <s v="Royalties"/>
    <n v="38022"/>
  </r>
  <r>
    <x v="20"/>
    <x v="1"/>
    <s v="Travel"/>
    <s v="Hotel"/>
    <n v="10158"/>
  </r>
  <r>
    <x v="21"/>
    <x v="1"/>
    <s v="Travel"/>
    <s v="Hotel"/>
    <n v="15743"/>
  </r>
  <r>
    <x v="22"/>
    <x v="1"/>
    <s v="Shopping"/>
    <s v="Electronics"/>
    <n v="10471"/>
  </r>
  <r>
    <x v="23"/>
    <x v="0"/>
    <s v="Investments"/>
    <s v="Crypto Trading"/>
    <n v="22199"/>
  </r>
  <r>
    <x v="24"/>
    <x v="1"/>
    <s v="Entertainment"/>
    <s v="Movie"/>
    <n v="14619"/>
  </r>
  <r>
    <x v="25"/>
    <x v="1"/>
    <s v="Travel"/>
    <s v="Flight"/>
    <n v="17757"/>
  </r>
  <r>
    <x v="26"/>
    <x v="1"/>
    <s v="Misc"/>
    <s v="Charity"/>
    <n v="885"/>
  </r>
  <r>
    <x v="27"/>
    <x v="1"/>
    <s v="Entertainment"/>
    <s v="Games"/>
    <n v="15602"/>
  </r>
  <r>
    <x v="28"/>
    <x v="1"/>
    <s v="Care"/>
    <s v="Spa"/>
    <n v="4947"/>
  </r>
  <r>
    <x v="29"/>
    <x v="1"/>
    <s v="Food"/>
    <s v="Dining Out"/>
    <n v="19730"/>
  </r>
  <r>
    <x v="30"/>
    <x v="1"/>
    <s v="Travel"/>
    <s v="Flight"/>
    <n v="6119"/>
  </r>
  <r>
    <x v="31"/>
    <x v="1"/>
    <s v="Misc"/>
    <s v="Bank Fees"/>
    <n v="13029"/>
  </r>
  <r>
    <x v="32"/>
    <x v="0"/>
    <s v="Other"/>
    <s v="Lottery Winnings"/>
    <n v="36801"/>
  </r>
  <r>
    <x v="33"/>
    <x v="1"/>
    <s v="Food"/>
    <s v="Zomato Order"/>
    <n v="1628"/>
  </r>
  <r>
    <x v="34"/>
    <x v="1"/>
    <s v="Health"/>
    <s v="Yoga"/>
    <n v="719"/>
  </r>
  <r>
    <x v="35"/>
    <x v="1"/>
    <s v="Housing"/>
    <s v="Insurance"/>
    <n v="408"/>
  </r>
  <r>
    <x v="36"/>
    <x v="1"/>
    <s v="Health"/>
    <s v="Medicines"/>
    <n v="8300"/>
  </r>
  <r>
    <x v="37"/>
    <x v="1"/>
    <s v="Food"/>
    <s v="Dining Out"/>
    <n v="19575"/>
  </r>
  <r>
    <x v="38"/>
    <x v="1"/>
    <s v="Housing"/>
    <s v="Mortgage"/>
    <n v="3099"/>
  </r>
  <r>
    <x v="39"/>
    <x v="1"/>
    <s v="Misc"/>
    <s v="Magazines"/>
    <n v="1403"/>
  </r>
  <r>
    <x v="20"/>
    <x v="0"/>
    <s v="Investments"/>
    <s v="Stock Dividends"/>
    <n v="28150"/>
  </r>
  <r>
    <x v="40"/>
    <x v="1"/>
    <s v="Travel"/>
    <s v="Hotel"/>
    <n v="14987"/>
  </r>
  <r>
    <x v="41"/>
    <x v="1"/>
    <s v="Debts"/>
    <s v="Loan EMI"/>
    <n v="16968"/>
  </r>
  <r>
    <x v="42"/>
    <x v="1"/>
    <s v="Transport"/>
    <s v="Uber"/>
    <n v="5273"/>
  </r>
  <r>
    <x v="43"/>
    <x v="1"/>
    <s v="Misc"/>
    <s v="Magazines"/>
    <n v="14750"/>
  </r>
  <r>
    <x v="14"/>
    <x v="1"/>
    <s v="Health"/>
    <s v="Doctor"/>
    <n v="12400"/>
  </r>
  <r>
    <x v="44"/>
    <x v="1"/>
    <s v="Misc"/>
    <s v="Bank Fees"/>
    <n v="12706"/>
  </r>
  <r>
    <x v="45"/>
    <x v="1"/>
    <s v="Transport"/>
    <s v="Metro"/>
    <n v="11704"/>
  </r>
  <r>
    <x v="46"/>
    <x v="1"/>
    <s v="Debts"/>
    <s v="Student Loan"/>
    <n v="18182"/>
  </r>
  <r>
    <x v="47"/>
    <x v="1"/>
    <s v="Food"/>
    <s v="Zomato Order"/>
    <n v="5622"/>
  </r>
  <r>
    <x v="48"/>
    <x v="1"/>
    <s v="Housing"/>
    <s v="Rent"/>
    <n v="783"/>
  </r>
  <r>
    <x v="46"/>
    <x v="0"/>
    <s v="Investments"/>
    <s v="Mutual Funds"/>
    <n v="41463"/>
  </r>
  <r>
    <x v="23"/>
    <x v="1"/>
    <s v="Care"/>
    <s v="Haircut"/>
    <n v="1062"/>
  </r>
  <r>
    <x v="49"/>
    <x v="0"/>
    <s v="Salary"/>
    <s v="Monthly Salary"/>
    <n v="20054"/>
  </r>
  <r>
    <x v="50"/>
    <x v="1"/>
    <s v="Debts"/>
    <s v="Credit Card"/>
    <n v="2768"/>
  </r>
  <r>
    <x v="51"/>
    <x v="1"/>
    <s v="Food"/>
    <s v="Groceries"/>
    <n v="19345"/>
  </r>
  <r>
    <x v="2"/>
    <x v="1"/>
    <s v="Education"/>
    <s v="Books"/>
    <n v="7170"/>
  </r>
  <r>
    <x v="52"/>
    <x v="0"/>
    <s v="Passive Income"/>
    <s v="Affiliate Earnings"/>
    <n v="20187"/>
  </r>
  <r>
    <x v="53"/>
    <x v="1"/>
    <s v="Education"/>
    <s v="Workshop"/>
    <n v="11804"/>
  </r>
  <r>
    <x v="54"/>
    <x v="1"/>
    <s v="Misc"/>
    <s v="Bank Fees"/>
    <n v="19873"/>
  </r>
  <r>
    <x v="55"/>
    <x v="0"/>
    <s v="Investments"/>
    <s v="Mutual Funds"/>
    <n v="12413"/>
  </r>
  <r>
    <x v="56"/>
    <x v="1"/>
    <s v="Care"/>
    <s v="Skincare"/>
    <n v="6264"/>
  </r>
  <r>
    <x v="53"/>
    <x v="1"/>
    <s v="Debts"/>
    <s v="Credit Card"/>
    <n v="14993"/>
  </r>
  <r>
    <x v="56"/>
    <x v="0"/>
    <s v="Salary"/>
    <s v="Monthly Salary"/>
    <n v="27793"/>
  </r>
  <r>
    <x v="57"/>
    <x v="1"/>
    <s v="Housing"/>
    <s v="Rent"/>
    <n v="9318"/>
  </r>
  <r>
    <x v="58"/>
    <x v="1"/>
    <s v="Education"/>
    <s v="Tuition"/>
    <n v="2965"/>
  </r>
  <r>
    <x v="42"/>
    <x v="1"/>
    <s v="Misc"/>
    <s v="Charity"/>
    <n v="18092"/>
  </r>
  <r>
    <x v="59"/>
    <x v="1"/>
    <s v="Health"/>
    <s v="Gym"/>
    <n v="5991"/>
  </r>
  <r>
    <x v="60"/>
    <x v="1"/>
    <s v="Education"/>
    <s v="Books"/>
    <n v="323"/>
  </r>
  <r>
    <x v="61"/>
    <x v="1"/>
    <s v="Debts"/>
    <s v="Credit Card"/>
    <n v="4215"/>
  </r>
  <r>
    <x v="62"/>
    <x v="0"/>
    <s v="Investments"/>
    <s v="Stock Dividends"/>
    <n v="22717"/>
  </r>
  <r>
    <x v="63"/>
    <x v="1"/>
    <s v="Misc"/>
    <s v="Charity"/>
    <n v="3303"/>
  </r>
  <r>
    <x v="49"/>
    <x v="1"/>
    <s v="Education"/>
    <s v="Workshop"/>
    <n v="6557"/>
  </r>
  <r>
    <x v="64"/>
    <x v="0"/>
    <s v="Salary"/>
    <s v="Commission"/>
    <n v="37873"/>
  </r>
  <r>
    <x v="44"/>
    <x v="0"/>
    <s v="Other"/>
    <s v="Lottery Winnings"/>
    <n v="13257"/>
  </r>
  <r>
    <x v="65"/>
    <x v="0"/>
    <s v="Other"/>
    <s v="Lottery Winnings"/>
    <n v="8880"/>
  </r>
  <r>
    <x v="66"/>
    <x v="1"/>
    <s v="Misc"/>
    <s v="Charity"/>
    <n v="1702"/>
  </r>
  <r>
    <x v="67"/>
    <x v="1"/>
    <s v="Shopping"/>
    <s v="Clothing"/>
    <n v="7151"/>
  </r>
  <r>
    <x v="68"/>
    <x v="1"/>
    <s v="Food"/>
    <s v="Dining Out"/>
    <n v="13945"/>
  </r>
  <r>
    <x v="35"/>
    <x v="1"/>
    <s v="Housing"/>
    <s v="Mortgage"/>
    <n v="16658"/>
  </r>
  <r>
    <x v="69"/>
    <x v="1"/>
    <s v="Debts"/>
    <s v="Loan EMI"/>
    <n v="14786"/>
  </r>
  <r>
    <x v="3"/>
    <x v="1"/>
    <s v="Travel"/>
    <s v="Tour Guide"/>
    <n v="2687"/>
  </r>
  <r>
    <x v="37"/>
    <x v="1"/>
    <s v="Care"/>
    <s v="Skincare"/>
    <n v="4976"/>
  </r>
  <r>
    <x v="43"/>
    <x v="1"/>
    <s v="Housing"/>
    <s v="Rent"/>
    <n v="18582"/>
  </r>
  <r>
    <x v="70"/>
    <x v="1"/>
    <s v="Shopping"/>
    <s v="Gifts"/>
    <n v="9729"/>
  </r>
  <r>
    <x v="71"/>
    <x v="1"/>
    <s v="Transport"/>
    <s v="Car Service"/>
    <n v="1914"/>
  </r>
  <r>
    <x v="72"/>
    <x v="0"/>
    <s v="Investments"/>
    <s v="Mutual Funds"/>
    <n v="33142"/>
  </r>
  <r>
    <x v="73"/>
    <x v="0"/>
    <s v="Investments"/>
    <s v="Stock Dividends"/>
    <n v="8366"/>
  </r>
  <r>
    <x v="74"/>
    <x v="0"/>
    <s v="Freelance"/>
    <s v="Design Project"/>
    <n v="29071"/>
  </r>
  <r>
    <x v="75"/>
    <x v="1"/>
    <s v="Travel"/>
    <s v="Flight"/>
    <n v="14585"/>
  </r>
  <r>
    <x v="76"/>
    <x v="0"/>
    <s v="Freelance"/>
    <s v="Writing Gig"/>
    <n v="7909"/>
  </r>
  <r>
    <x v="77"/>
    <x v="1"/>
    <s v="Food"/>
    <s v="Dining Out"/>
    <n v="13837"/>
  </r>
  <r>
    <x v="78"/>
    <x v="1"/>
    <s v="Food"/>
    <s v="Groceries"/>
    <n v="3005"/>
  </r>
  <r>
    <x v="79"/>
    <x v="1"/>
    <s v="Care"/>
    <s v="Haircut"/>
    <n v="10671"/>
  </r>
  <r>
    <x v="80"/>
    <x v="1"/>
    <s v="Debts"/>
    <s v="Loan EMI"/>
    <n v="15416"/>
  </r>
  <r>
    <x v="38"/>
    <x v="1"/>
    <s v="Education"/>
    <s v="Tuition"/>
    <n v="6951"/>
  </r>
  <r>
    <x v="81"/>
    <x v="1"/>
    <s v="Housing"/>
    <s v="Insurance"/>
    <n v="10113"/>
  </r>
  <r>
    <x v="82"/>
    <x v="1"/>
    <s v="Housing"/>
    <s v="Insurance"/>
    <n v="2882"/>
  </r>
  <r>
    <x v="83"/>
    <x v="1"/>
    <s v="Utilities"/>
    <s v="Internet"/>
    <n v="5488"/>
  </r>
  <r>
    <x v="59"/>
    <x v="1"/>
    <s v="Care"/>
    <s v="Haircut"/>
    <n v="15883"/>
  </r>
  <r>
    <x v="84"/>
    <x v="1"/>
    <s v="Health"/>
    <s v="Gym"/>
    <n v="11553"/>
  </r>
  <r>
    <x v="85"/>
    <x v="0"/>
    <s v="Passive Income"/>
    <s v="Affiliate Earnings"/>
    <n v="43459"/>
  </r>
  <r>
    <x v="86"/>
    <x v="1"/>
    <s v="Debts"/>
    <s v="Loan EMI"/>
    <n v="10040"/>
  </r>
  <r>
    <x v="87"/>
    <x v="1"/>
    <s v="Transport"/>
    <s v="Petrol"/>
    <n v="14536"/>
  </r>
  <r>
    <x v="88"/>
    <x v="0"/>
    <s v="Salary"/>
    <s v="Monthly Salary"/>
    <n v="13255"/>
  </r>
  <r>
    <x v="89"/>
    <x v="1"/>
    <s v="Health"/>
    <s v="Gym"/>
    <n v="11999"/>
  </r>
  <r>
    <x v="90"/>
    <x v="0"/>
    <s v="Investments"/>
    <s v="Stock Dividends"/>
    <n v="39716"/>
  </r>
  <r>
    <x v="91"/>
    <x v="1"/>
    <s v="Housing"/>
    <s v="Maintenance"/>
    <n v="16821"/>
  </r>
  <r>
    <x v="9"/>
    <x v="0"/>
    <s v="Freelance"/>
    <s v="Design Project"/>
    <n v="23314"/>
  </r>
  <r>
    <x v="68"/>
    <x v="0"/>
    <s v="Passive Income"/>
    <s v="Affiliate Earnings"/>
    <n v="27999"/>
  </r>
  <r>
    <x v="38"/>
    <x v="0"/>
    <s v="Salary"/>
    <s v="Bonus"/>
    <n v="41896"/>
  </r>
  <r>
    <x v="92"/>
    <x v="0"/>
    <s v="Investments"/>
    <s v="Crypto Trading"/>
    <n v="38035"/>
  </r>
  <r>
    <x v="83"/>
    <x v="1"/>
    <s v="Education"/>
    <s v="Workshop"/>
    <n v="8918"/>
  </r>
  <r>
    <x v="93"/>
    <x v="0"/>
    <s v="Investments"/>
    <s v="Crypto Trading"/>
    <n v="33114"/>
  </r>
  <r>
    <x v="27"/>
    <x v="1"/>
    <s v="Health"/>
    <s v="Medicines"/>
    <n v="14270"/>
  </r>
  <r>
    <x v="94"/>
    <x v="1"/>
    <s v="Utilities"/>
    <s v="Water"/>
    <n v="7375"/>
  </r>
  <r>
    <x v="22"/>
    <x v="1"/>
    <s v="Food"/>
    <s v="Zomato Order"/>
    <n v="9612"/>
  </r>
  <r>
    <x v="68"/>
    <x v="1"/>
    <s v="Food"/>
    <s v="Coffee"/>
    <n v="4810"/>
  </r>
  <r>
    <x v="40"/>
    <x v="0"/>
    <s v="Investments"/>
    <s v="Mutual Funds"/>
    <n v="48094"/>
  </r>
  <r>
    <x v="66"/>
    <x v="0"/>
    <s v="Other"/>
    <s v="Birthday Gift"/>
    <n v="39450"/>
  </r>
  <r>
    <x v="60"/>
    <x v="0"/>
    <s v="Investments"/>
    <s v="Crypto Trading"/>
    <n v="44675"/>
  </r>
  <r>
    <x v="54"/>
    <x v="1"/>
    <s v="Shopping"/>
    <s v="Electronics"/>
    <n v="4836"/>
  </r>
  <r>
    <x v="95"/>
    <x v="1"/>
    <s v="Health"/>
    <s v="Doctor"/>
    <n v="4772"/>
  </r>
  <r>
    <x v="16"/>
    <x v="1"/>
    <s v="Debts"/>
    <s v="Credit Card"/>
    <n v="7471"/>
  </r>
  <r>
    <x v="96"/>
    <x v="1"/>
    <s v="Utilities"/>
    <s v="Electricity"/>
    <n v="3554"/>
  </r>
  <r>
    <x v="97"/>
    <x v="1"/>
    <s v="Transport"/>
    <s v="Metro"/>
    <n v="13923"/>
  </r>
  <r>
    <x v="98"/>
    <x v="1"/>
    <s v="Shopping"/>
    <s v="Electronics"/>
    <n v="3005"/>
  </r>
  <r>
    <x v="99"/>
    <x v="1"/>
    <s v="Food"/>
    <s v="Zomato Order"/>
    <n v="1979"/>
  </r>
  <r>
    <x v="53"/>
    <x v="0"/>
    <s v="Other"/>
    <s v="Tax Refund"/>
    <n v="44171"/>
  </r>
  <r>
    <x v="25"/>
    <x v="1"/>
    <s v="Care"/>
    <s v="Haircut"/>
    <n v="3029"/>
  </r>
  <r>
    <x v="63"/>
    <x v="1"/>
    <s v="Shopping"/>
    <s v="Clothing"/>
    <n v="14225"/>
  </r>
  <r>
    <x v="100"/>
    <x v="1"/>
    <s v="Food"/>
    <s v="Coffee"/>
    <n v="8176"/>
  </r>
  <r>
    <x v="47"/>
    <x v="0"/>
    <s v="Passive Income"/>
    <s v="Rental Income"/>
    <n v="13877"/>
  </r>
  <r>
    <x v="20"/>
    <x v="1"/>
    <s v="Food"/>
    <s v="Zomato Order"/>
    <n v="9117"/>
  </r>
  <r>
    <x v="40"/>
    <x v="1"/>
    <s v="Housing"/>
    <s v="Maintenance"/>
    <n v="4726"/>
  </r>
  <r>
    <x v="9"/>
    <x v="1"/>
    <s v="Misc"/>
    <s v="Charity"/>
    <n v="6505"/>
  </r>
  <r>
    <x v="47"/>
    <x v="1"/>
    <s v="Entertainment"/>
    <s v="Netflix"/>
    <n v="12908"/>
  </r>
  <r>
    <x v="71"/>
    <x v="1"/>
    <s v="Travel"/>
    <s v="Tour Guide"/>
    <n v="3517"/>
  </r>
  <r>
    <x v="101"/>
    <x v="0"/>
    <s v="Passive Income"/>
    <s v="Rental Income"/>
    <n v="24526"/>
  </r>
  <r>
    <x v="102"/>
    <x v="0"/>
    <s v="Passive Income"/>
    <s v="Rental Income"/>
    <n v="45211"/>
  </r>
  <r>
    <x v="38"/>
    <x v="0"/>
    <s v="Passive Income"/>
    <s v="Rental Income"/>
    <n v="18490"/>
  </r>
  <r>
    <x v="36"/>
    <x v="0"/>
    <s v="Other"/>
    <s v="Tax Refund"/>
    <n v="3879"/>
  </r>
  <r>
    <x v="100"/>
    <x v="1"/>
    <s v="Misc"/>
    <s v="Bank Fees"/>
    <n v="17978"/>
  </r>
  <r>
    <x v="103"/>
    <x v="0"/>
    <s v="Other"/>
    <s v="Birthday Gift"/>
    <n v="41653"/>
  </r>
  <r>
    <x v="49"/>
    <x v="0"/>
    <s v="Investments"/>
    <s v="Crypto Trading"/>
    <n v="6975"/>
  </r>
  <r>
    <x v="104"/>
    <x v="1"/>
    <s v="Care"/>
    <s v="Haircut"/>
    <n v="13450"/>
  </r>
  <r>
    <x v="48"/>
    <x v="1"/>
    <s v="Education"/>
    <s v="Workshop"/>
    <n v="18408"/>
  </r>
  <r>
    <x v="105"/>
    <x v="1"/>
    <s v="Housing"/>
    <s v="Maintenance"/>
    <n v="18560"/>
  </r>
  <r>
    <x v="6"/>
    <x v="1"/>
    <s v="Travel"/>
    <s v="Flight"/>
    <n v="11911"/>
  </r>
  <r>
    <x v="33"/>
    <x v="0"/>
    <s v="Salary"/>
    <s v="Monthly Salary"/>
    <n v="20184"/>
  </r>
  <r>
    <x v="29"/>
    <x v="1"/>
    <s v="Care"/>
    <s v="Haircut"/>
    <n v="5287"/>
  </r>
  <r>
    <x v="14"/>
    <x v="1"/>
    <s v="Health"/>
    <s v="Medicines"/>
    <n v="14060"/>
  </r>
  <r>
    <x v="106"/>
    <x v="1"/>
    <s v="Utilities"/>
    <s v="Internet"/>
    <n v="7488"/>
  </r>
  <r>
    <x v="107"/>
    <x v="0"/>
    <s v="Passive Income"/>
    <s v="Affiliate Earnings"/>
    <n v="36968"/>
  </r>
  <r>
    <x v="84"/>
    <x v="1"/>
    <s v="Utilities"/>
    <s v="Water"/>
    <n v="12001"/>
  </r>
  <r>
    <x v="25"/>
    <x v="0"/>
    <s v="Freelance"/>
    <s v="Writing Gig"/>
    <n v="40139"/>
  </r>
  <r>
    <x v="108"/>
    <x v="1"/>
    <s v="Misc"/>
    <s v="Charity"/>
    <n v="902"/>
  </r>
  <r>
    <x v="109"/>
    <x v="0"/>
    <s v="Other"/>
    <s v="Lottery Winnings"/>
    <n v="8980"/>
  </r>
  <r>
    <x v="110"/>
    <x v="1"/>
    <s v="Travel"/>
    <s v="Tour Guide"/>
    <n v="10492"/>
  </r>
  <r>
    <x v="26"/>
    <x v="1"/>
    <s v="Care"/>
    <s v="Haircut"/>
    <n v="14972"/>
  </r>
  <r>
    <x v="111"/>
    <x v="1"/>
    <s v="Health"/>
    <s v="Gym"/>
    <n v="1749"/>
  </r>
  <r>
    <x v="93"/>
    <x v="1"/>
    <s v="Transport"/>
    <s v="Uber"/>
    <n v="1193"/>
  </r>
  <r>
    <x v="112"/>
    <x v="1"/>
    <s v="Food"/>
    <s v="Zomato Order"/>
    <n v="7776"/>
  </r>
  <r>
    <x v="113"/>
    <x v="1"/>
    <s v="Shopping"/>
    <s v="Amazon"/>
    <n v="12776"/>
  </r>
  <r>
    <x v="27"/>
    <x v="1"/>
    <s v="Travel"/>
    <s v="Flight"/>
    <n v="3197"/>
  </r>
  <r>
    <x v="88"/>
    <x v="1"/>
    <s v="Housing"/>
    <s v="Maintenance"/>
    <n v="6240"/>
  </r>
  <r>
    <x v="114"/>
    <x v="1"/>
    <s v="Misc"/>
    <s v="Magazines"/>
    <n v="16562"/>
  </r>
  <r>
    <x v="56"/>
    <x v="0"/>
    <s v="Other"/>
    <s v="Birthday Gift"/>
    <n v="21384"/>
  </r>
  <r>
    <x v="72"/>
    <x v="1"/>
    <s v="Utilities"/>
    <s v="Electricity"/>
    <n v="12079"/>
  </r>
  <r>
    <x v="72"/>
    <x v="1"/>
    <s v="Care"/>
    <s v="Haircut"/>
    <n v="16931"/>
  </r>
  <r>
    <x v="13"/>
    <x v="0"/>
    <s v="Passive Income"/>
    <s v="Royalties"/>
    <n v="48992"/>
  </r>
  <r>
    <x v="115"/>
    <x v="0"/>
    <s v="Investments"/>
    <s v="Stock Dividends"/>
    <n v="46151"/>
  </r>
  <r>
    <x v="48"/>
    <x v="0"/>
    <s v="Salary"/>
    <s v="Monthly Salary"/>
    <n v="6987"/>
  </r>
  <r>
    <x v="78"/>
    <x v="1"/>
    <s v="Travel"/>
    <s v="Tour Guide"/>
    <n v="5347"/>
  </r>
  <r>
    <x v="99"/>
    <x v="1"/>
    <s v="Transport"/>
    <s v="Car Service"/>
    <n v="18382"/>
  </r>
  <r>
    <x v="104"/>
    <x v="1"/>
    <s v="Shopping"/>
    <s v="Gifts"/>
    <n v="7665"/>
  </r>
  <r>
    <x v="116"/>
    <x v="1"/>
    <s v="Housing"/>
    <s v="Maintenance"/>
    <n v="5485"/>
  </r>
  <r>
    <x v="117"/>
    <x v="1"/>
    <s v="Shopping"/>
    <s v="Electronics"/>
    <n v="13589"/>
  </r>
  <r>
    <x v="111"/>
    <x v="1"/>
    <s v="Housing"/>
    <s v="Maintenance"/>
    <n v="5325"/>
  </r>
  <r>
    <x v="79"/>
    <x v="1"/>
    <s v="Health"/>
    <s v="Gym"/>
    <n v="4724"/>
  </r>
  <r>
    <x v="118"/>
    <x v="0"/>
    <s v="Other"/>
    <s v="Lottery Winnings"/>
    <n v="27391"/>
  </r>
  <r>
    <x v="78"/>
    <x v="1"/>
    <s v="Care"/>
    <s v="Haircut"/>
    <n v="10991"/>
  </r>
  <r>
    <x v="28"/>
    <x v="1"/>
    <s v="Travel"/>
    <s v="Flight"/>
    <n v="15709"/>
  </r>
  <r>
    <x v="119"/>
    <x v="1"/>
    <s v="Food"/>
    <s v="Zomato Order"/>
    <n v="12062"/>
  </r>
  <r>
    <x v="5"/>
    <x v="1"/>
    <s v="Care"/>
    <s v="Spa"/>
    <n v="13598"/>
  </r>
  <r>
    <x v="40"/>
    <x v="1"/>
    <s v="Food"/>
    <s v="Zomato Order"/>
    <n v="687"/>
  </r>
  <r>
    <x v="26"/>
    <x v="1"/>
    <s v="Shopping"/>
    <s v="Gifts"/>
    <n v="14380"/>
  </r>
  <r>
    <x v="103"/>
    <x v="1"/>
    <s v="Health"/>
    <s v="Doctor"/>
    <n v="8302"/>
  </r>
  <r>
    <x v="6"/>
    <x v="1"/>
    <s v="Utilities"/>
    <s v="Internet"/>
    <n v="6603"/>
  </r>
  <r>
    <x v="120"/>
    <x v="1"/>
    <s v="Misc"/>
    <s v="Magazines"/>
    <n v="14548"/>
  </r>
  <r>
    <x v="9"/>
    <x v="1"/>
    <s v="Shopping"/>
    <s v="Amazon"/>
    <n v="8242"/>
  </r>
  <r>
    <x v="73"/>
    <x v="1"/>
    <s v="Transport"/>
    <s v="Car Service"/>
    <n v="5238"/>
  </r>
  <r>
    <x v="30"/>
    <x v="0"/>
    <s v="Passive Income"/>
    <s v="Royalties"/>
    <n v="15987"/>
  </r>
  <r>
    <x v="121"/>
    <x v="1"/>
    <s v="Debts"/>
    <s v="Credit Card"/>
    <n v="14511"/>
  </r>
  <r>
    <x v="122"/>
    <x v="1"/>
    <s v="Utilities"/>
    <s v="Electricity"/>
    <n v="2629"/>
  </r>
  <r>
    <x v="108"/>
    <x v="0"/>
    <s v="Salary"/>
    <s v="Monthly Salary"/>
    <n v="20094"/>
  </r>
  <r>
    <x v="94"/>
    <x v="0"/>
    <s v="Investments"/>
    <s v="Stock Dividends"/>
    <n v="16063"/>
  </r>
  <r>
    <x v="49"/>
    <x v="1"/>
    <s v="Shopping"/>
    <s v="Amazon"/>
    <n v="17120"/>
  </r>
  <r>
    <x v="123"/>
    <x v="1"/>
    <s v="Utilities"/>
    <s v="Water"/>
    <n v="10804"/>
  </r>
  <r>
    <x v="38"/>
    <x v="0"/>
    <s v="Freelance"/>
    <s v="Writing Gig"/>
    <n v="33111"/>
  </r>
  <r>
    <x v="123"/>
    <x v="1"/>
    <s v="Care"/>
    <s v="Skincare"/>
    <n v="3079"/>
  </r>
  <r>
    <x v="124"/>
    <x v="1"/>
    <s v="Travel"/>
    <s v="Tour Guide"/>
    <n v="18548"/>
  </r>
  <r>
    <x v="111"/>
    <x v="1"/>
    <s v="Travel"/>
    <s v="Flight"/>
    <n v="16628"/>
  </r>
  <r>
    <x v="75"/>
    <x v="1"/>
    <s v="Care"/>
    <s v="Haircut"/>
    <n v="614"/>
  </r>
  <r>
    <x v="105"/>
    <x v="0"/>
    <s v="Other"/>
    <s v="Lottery Winnings"/>
    <n v="25995"/>
  </r>
  <r>
    <x v="86"/>
    <x v="0"/>
    <s v="Freelance"/>
    <s v="Design Project"/>
    <n v="29140"/>
  </r>
  <r>
    <x v="68"/>
    <x v="1"/>
    <s v="Travel"/>
    <s v="Flight"/>
    <n v="8997"/>
  </r>
  <r>
    <x v="113"/>
    <x v="1"/>
    <s v="Health"/>
    <s v="Doctor"/>
    <n v="18749"/>
  </r>
  <r>
    <x v="108"/>
    <x v="1"/>
    <s v="Entertainment"/>
    <s v="Movie"/>
    <n v="8672"/>
  </r>
  <r>
    <x v="116"/>
    <x v="1"/>
    <s v="Transport"/>
    <s v="Metro"/>
    <n v="13059"/>
  </r>
  <r>
    <x v="125"/>
    <x v="1"/>
    <s v="Entertainment"/>
    <s v="Movie"/>
    <n v="9132"/>
  </r>
  <r>
    <x v="59"/>
    <x v="1"/>
    <s v="Misc"/>
    <s v="Magazines"/>
    <n v="10825"/>
  </r>
  <r>
    <x v="126"/>
    <x v="1"/>
    <s v="Shopping"/>
    <s v="Gifts"/>
    <n v="8809"/>
  </r>
  <r>
    <x v="48"/>
    <x v="0"/>
    <s v="Freelance"/>
    <s v="Writing Gig"/>
    <n v="30883"/>
  </r>
  <r>
    <x v="16"/>
    <x v="1"/>
    <s v="Transport"/>
    <s v="Petrol"/>
    <n v="8246"/>
  </r>
  <r>
    <x v="86"/>
    <x v="1"/>
    <s v="Shopping"/>
    <s v="Amazon"/>
    <n v="2440"/>
  </r>
  <r>
    <x v="7"/>
    <x v="1"/>
    <s v="Care"/>
    <s v="Haircut"/>
    <n v="19469"/>
  </r>
  <r>
    <x v="65"/>
    <x v="1"/>
    <s v="Care"/>
    <s v="Haircut"/>
    <n v="19303"/>
  </r>
  <r>
    <x v="37"/>
    <x v="0"/>
    <s v="Other"/>
    <s v="Lottery Winnings"/>
    <n v="31618"/>
  </r>
  <r>
    <x v="14"/>
    <x v="1"/>
    <s v="Travel"/>
    <s v="Hotel"/>
    <n v="7391"/>
  </r>
  <r>
    <x v="76"/>
    <x v="1"/>
    <s v="Health"/>
    <s v="Medicines"/>
    <n v="9792"/>
  </r>
  <r>
    <x v="13"/>
    <x v="1"/>
    <s v="Food"/>
    <s v="Groceries"/>
    <n v="7827"/>
  </r>
  <r>
    <x v="127"/>
    <x v="0"/>
    <s v="Freelance"/>
    <s v="Writing Gig"/>
    <n v="9706"/>
  </r>
  <r>
    <x v="113"/>
    <x v="0"/>
    <s v="Investments"/>
    <s v="Mutual Funds"/>
    <n v="31021"/>
  </r>
  <r>
    <x v="72"/>
    <x v="0"/>
    <s v="Freelance"/>
    <s v="Design Project"/>
    <n v="30368"/>
  </r>
  <r>
    <x v="25"/>
    <x v="0"/>
    <s v="Freelance"/>
    <s v="Design Project"/>
    <n v="24957"/>
  </r>
  <r>
    <x v="88"/>
    <x v="1"/>
    <s v="Entertainment"/>
    <s v="Games"/>
    <n v="13423"/>
  </r>
  <r>
    <x v="46"/>
    <x v="1"/>
    <s v="Care"/>
    <s v="Skincare"/>
    <n v="10988"/>
  </r>
  <r>
    <x v="111"/>
    <x v="0"/>
    <s v="Passive Income"/>
    <s v="Affiliate Earnings"/>
    <n v="39909"/>
  </r>
  <r>
    <x v="121"/>
    <x v="1"/>
    <s v="Entertainment"/>
    <s v="Netflix"/>
    <n v="2135"/>
  </r>
  <r>
    <x v="63"/>
    <x v="0"/>
    <s v="Investments"/>
    <s v="Stock Dividends"/>
    <n v="28225"/>
  </r>
  <r>
    <x v="63"/>
    <x v="1"/>
    <s v="Shopping"/>
    <s v="Clothing"/>
    <n v="17976"/>
  </r>
  <r>
    <x v="128"/>
    <x v="1"/>
    <s v="Food"/>
    <s v="Coffee"/>
    <n v="9117"/>
  </r>
  <r>
    <x v="90"/>
    <x v="1"/>
    <s v="Shopping"/>
    <s v="Gifts"/>
    <n v="16441"/>
  </r>
  <r>
    <x v="38"/>
    <x v="0"/>
    <s v="Passive Income"/>
    <s v="Rental Income"/>
    <n v="13086"/>
  </r>
  <r>
    <x v="129"/>
    <x v="1"/>
    <s v="Misc"/>
    <s v="Charity"/>
    <n v="17996"/>
  </r>
  <r>
    <x v="18"/>
    <x v="0"/>
    <s v="Passive Income"/>
    <s v="Royalties"/>
    <n v="20465"/>
  </r>
  <r>
    <x v="72"/>
    <x v="1"/>
    <s v="Misc"/>
    <s v="Bank Fees"/>
    <n v="14542"/>
  </r>
  <r>
    <x v="92"/>
    <x v="0"/>
    <s v="Passive Income"/>
    <s v="Royalties"/>
    <n v="26725"/>
  </r>
  <r>
    <x v="43"/>
    <x v="1"/>
    <s v="Utilities"/>
    <s v="Electricity"/>
    <n v="12824"/>
  </r>
  <r>
    <x v="40"/>
    <x v="0"/>
    <s v="Passive Income"/>
    <s v="Affiliate Earnings"/>
    <n v="48889"/>
  </r>
  <r>
    <x v="42"/>
    <x v="0"/>
    <s v="Passive Income"/>
    <s v="Royalties"/>
    <n v="9606"/>
  </r>
  <r>
    <x v="130"/>
    <x v="1"/>
    <s v="Transport"/>
    <s v="Metro"/>
    <n v="5931"/>
  </r>
  <r>
    <x v="1"/>
    <x v="0"/>
    <s v="Freelance"/>
    <s v="Writing Gig"/>
    <n v="14749"/>
  </r>
  <r>
    <x v="107"/>
    <x v="0"/>
    <s v="Freelance"/>
    <s v="Writing Gig"/>
    <n v="42246"/>
  </r>
  <r>
    <x v="65"/>
    <x v="0"/>
    <s v="Investments"/>
    <s v="Stock Dividends"/>
    <n v="43966"/>
  </r>
  <r>
    <x v="61"/>
    <x v="1"/>
    <s v="Entertainment"/>
    <s v="Concert"/>
    <n v="6625"/>
  </r>
  <r>
    <x v="121"/>
    <x v="1"/>
    <s v="Utilities"/>
    <s v="Mobile Recharge"/>
    <n v="2561"/>
  </r>
  <r>
    <x v="131"/>
    <x v="0"/>
    <s v="Passive Income"/>
    <s v="Rental Income"/>
    <n v="24272"/>
  </r>
  <r>
    <x v="70"/>
    <x v="1"/>
    <s v="Food"/>
    <s v="Groceries"/>
    <n v="4216"/>
  </r>
  <r>
    <x v="61"/>
    <x v="1"/>
    <s v="Transport"/>
    <s v="Petrol"/>
    <n v="15023"/>
  </r>
  <r>
    <x v="122"/>
    <x v="0"/>
    <s v="Passive Income"/>
    <s v="Affiliate Earnings"/>
    <n v="35593"/>
  </r>
  <r>
    <x v="76"/>
    <x v="1"/>
    <s v="Education"/>
    <s v="Books"/>
    <n v="691"/>
  </r>
  <r>
    <x v="8"/>
    <x v="0"/>
    <s v="Investments"/>
    <s v="Stock Dividends"/>
    <n v="44899"/>
  </r>
  <r>
    <x v="53"/>
    <x v="1"/>
    <s v="Health"/>
    <s v="Gym"/>
    <n v="17504"/>
  </r>
  <r>
    <x v="108"/>
    <x v="1"/>
    <s v="Transport"/>
    <s v="Car Service"/>
    <n v="5137"/>
  </r>
  <r>
    <x v="132"/>
    <x v="1"/>
    <s v="Education"/>
    <s v="Tuition"/>
    <n v="15839"/>
  </r>
  <r>
    <x v="102"/>
    <x v="1"/>
    <s v="Travel"/>
    <s v="Flight"/>
    <n v="8146"/>
  </r>
  <r>
    <x v="101"/>
    <x v="1"/>
    <s v="Housing"/>
    <s v="Mortgage"/>
    <n v="10910"/>
  </r>
  <r>
    <x v="74"/>
    <x v="1"/>
    <s v="Housing"/>
    <s v="Insurance"/>
    <n v="335"/>
  </r>
  <r>
    <x v="78"/>
    <x v="1"/>
    <s v="Housing"/>
    <s v="Rent"/>
    <n v="11077"/>
  </r>
  <r>
    <x v="72"/>
    <x v="1"/>
    <s v="Misc"/>
    <s v="Bank Fees"/>
    <n v="11773"/>
  </r>
  <r>
    <x v="133"/>
    <x v="1"/>
    <s v="Food"/>
    <s v="Groceries"/>
    <n v="12382"/>
  </r>
  <r>
    <x v="89"/>
    <x v="1"/>
    <s v="Education"/>
    <s v="Tuition"/>
    <n v="8792"/>
  </r>
  <r>
    <x v="22"/>
    <x v="0"/>
    <s v="Freelance"/>
    <s v="Design Project"/>
    <n v="21865"/>
  </r>
  <r>
    <x v="8"/>
    <x v="0"/>
    <s v="Passive Income"/>
    <s v="Royalties"/>
    <n v="13563"/>
  </r>
  <r>
    <x v="84"/>
    <x v="0"/>
    <s v="Salary"/>
    <s v="Bonus"/>
    <n v="23283"/>
  </r>
  <r>
    <x v="23"/>
    <x v="1"/>
    <s v="Debts"/>
    <s v="Student Loan"/>
    <n v="1874"/>
  </r>
  <r>
    <x v="134"/>
    <x v="1"/>
    <s v="Travel"/>
    <s v="Tour Guide"/>
    <n v="13669"/>
  </r>
  <r>
    <x v="131"/>
    <x v="1"/>
    <s v="Shopping"/>
    <s v="Clothing"/>
    <n v="9824"/>
  </r>
  <r>
    <x v="135"/>
    <x v="0"/>
    <s v="Passive Income"/>
    <s v="Royalties"/>
    <n v="19994"/>
  </r>
  <r>
    <x v="123"/>
    <x v="1"/>
    <s v="Misc"/>
    <s v="Magazines"/>
    <n v="17981"/>
  </r>
  <r>
    <x v="36"/>
    <x v="0"/>
    <s v="Investments"/>
    <s v="Stock Dividends"/>
    <n v="31257"/>
  </r>
  <r>
    <x v="84"/>
    <x v="1"/>
    <s v="Housing"/>
    <s v="Mortgage"/>
    <n v="1669"/>
  </r>
  <r>
    <x v="131"/>
    <x v="1"/>
    <s v="Housing"/>
    <s v="Rent"/>
    <n v="15242"/>
  </r>
  <r>
    <x v="100"/>
    <x v="0"/>
    <s v="Passive Income"/>
    <s v="Affiliate Earnings"/>
    <n v="14933"/>
  </r>
  <r>
    <x v="56"/>
    <x v="1"/>
    <s v="Health"/>
    <s v="Doctor"/>
    <n v="19361"/>
  </r>
  <r>
    <x v="136"/>
    <x v="1"/>
    <s v="Transport"/>
    <s v="Petrol"/>
    <n v="17920"/>
  </r>
  <r>
    <x v="0"/>
    <x v="1"/>
    <s v="Transport"/>
    <s v="Uber"/>
    <n v="19331"/>
  </r>
  <r>
    <x v="17"/>
    <x v="1"/>
    <s v="Education"/>
    <s v="Course"/>
    <n v="17071"/>
  </r>
  <r>
    <x v="137"/>
    <x v="0"/>
    <s v="Passive Income"/>
    <s v="Rental Income"/>
    <n v="33041"/>
  </r>
  <r>
    <x v="138"/>
    <x v="1"/>
    <s v="Entertainment"/>
    <s v="Concert"/>
    <n v="15987"/>
  </r>
  <r>
    <x v="139"/>
    <x v="0"/>
    <s v="Investments"/>
    <s v="Stock Dividends"/>
    <n v="28878"/>
  </r>
  <r>
    <x v="52"/>
    <x v="0"/>
    <s v="Investments"/>
    <s v="Crypto Trading"/>
    <n v="41810"/>
  </r>
  <r>
    <x v="140"/>
    <x v="1"/>
    <s v="Food"/>
    <s v="Dining Out"/>
    <n v="1416"/>
  </r>
  <r>
    <x v="84"/>
    <x v="1"/>
    <s v="Education"/>
    <s v="Tuition"/>
    <n v="4121"/>
  </r>
  <r>
    <x v="57"/>
    <x v="1"/>
    <s v="Travel"/>
    <s v="Flight"/>
    <n v="15831"/>
  </r>
  <r>
    <x v="78"/>
    <x v="0"/>
    <s v="Other"/>
    <s v="Lottery Winnings"/>
    <n v="21741"/>
  </r>
  <r>
    <x v="94"/>
    <x v="1"/>
    <s v="Shopping"/>
    <s v="Gifts"/>
    <n v="17706"/>
  </r>
  <r>
    <x v="141"/>
    <x v="1"/>
    <s v="Transport"/>
    <s v="Metro"/>
    <n v="19699"/>
  </r>
  <r>
    <x v="74"/>
    <x v="1"/>
    <s v="Utilities"/>
    <s v="Water"/>
    <n v="11067"/>
  </r>
  <r>
    <x v="142"/>
    <x v="1"/>
    <s v="Travel"/>
    <s v="Tour Guide"/>
    <n v="18224"/>
  </r>
  <r>
    <x v="143"/>
    <x v="1"/>
    <s v="Travel"/>
    <s v="Flight"/>
    <n v="12497"/>
  </r>
  <r>
    <x v="76"/>
    <x v="1"/>
    <s v="Debts"/>
    <s v="Student Loan"/>
    <n v="2400"/>
  </r>
  <r>
    <x v="26"/>
    <x v="0"/>
    <s v="Investments"/>
    <s v="Crypto Trading"/>
    <n v="11886"/>
  </r>
  <r>
    <x v="91"/>
    <x v="0"/>
    <s v="Salary"/>
    <s v="Monthly Salary"/>
    <n v="12271"/>
  </r>
  <r>
    <x v="26"/>
    <x v="1"/>
    <s v="Debts"/>
    <s v="Loan EMI"/>
    <n v="16674"/>
  </r>
  <r>
    <x v="53"/>
    <x v="1"/>
    <s v="Shopping"/>
    <s v="Electronics"/>
    <n v="4031"/>
  </r>
  <r>
    <x v="144"/>
    <x v="0"/>
    <s v="Salary"/>
    <s v="Monthly Salary"/>
    <n v="3223"/>
  </r>
  <r>
    <x v="145"/>
    <x v="1"/>
    <s v="Debts"/>
    <s v="Credit Card"/>
    <n v="3848"/>
  </r>
  <r>
    <x v="64"/>
    <x v="1"/>
    <s v="Shopping"/>
    <s v="Electronics"/>
    <n v="14961"/>
  </r>
  <r>
    <x v="146"/>
    <x v="1"/>
    <s v="Transport"/>
    <s v="Petrol"/>
    <n v="16022"/>
  </r>
  <r>
    <x v="147"/>
    <x v="1"/>
    <s v="Entertainment"/>
    <s v="Netflix"/>
    <n v="611"/>
  </r>
  <r>
    <x v="34"/>
    <x v="1"/>
    <s v="Entertainment"/>
    <s v="Movie"/>
    <n v="12285"/>
  </r>
  <r>
    <x v="108"/>
    <x v="1"/>
    <s v="Health"/>
    <s v="Doctor"/>
    <n v="17554"/>
  </r>
  <r>
    <x v="15"/>
    <x v="0"/>
    <s v="Salary"/>
    <s v="Bonus"/>
    <n v="36710"/>
  </r>
  <r>
    <x v="87"/>
    <x v="1"/>
    <s v="Entertainment"/>
    <s v="Netflix"/>
    <n v="285"/>
  </r>
  <r>
    <x v="133"/>
    <x v="0"/>
    <s v="Passive Income"/>
    <s v="Affiliate Earnings"/>
    <n v="3641"/>
  </r>
  <r>
    <x v="25"/>
    <x v="0"/>
    <s v="Other"/>
    <s v="Lottery Winnings"/>
    <n v="7997"/>
  </r>
  <r>
    <x v="74"/>
    <x v="1"/>
    <s v="Transport"/>
    <s v="Uber"/>
    <n v="8843"/>
  </r>
  <r>
    <x v="55"/>
    <x v="0"/>
    <s v="Other"/>
    <s v="Lottery Winnings"/>
    <n v="9993"/>
  </r>
  <r>
    <x v="148"/>
    <x v="0"/>
    <s v="Passive Income"/>
    <s v="Rental Income"/>
    <n v="22072"/>
  </r>
  <r>
    <x v="78"/>
    <x v="1"/>
    <s v="Health"/>
    <s v="Gym"/>
    <n v="14901"/>
  </r>
  <r>
    <x v="89"/>
    <x v="1"/>
    <s v="Travel"/>
    <s v="Hotel"/>
    <n v="965"/>
  </r>
  <r>
    <x v="149"/>
    <x v="1"/>
    <s v="Utilities"/>
    <s v="Internet"/>
    <n v="13739"/>
  </r>
  <r>
    <x v="150"/>
    <x v="1"/>
    <s v="Housing"/>
    <s v="Maintenance"/>
    <n v="2723"/>
  </r>
  <r>
    <x v="79"/>
    <x v="1"/>
    <s v="Transport"/>
    <s v="Metro"/>
    <n v="4808"/>
  </r>
  <r>
    <x v="134"/>
    <x v="1"/>
    <s v="Housing"/>
    <s v="Mortgage"/>
    <n v="11307"/>
  </r>
  <r>
    <x v="49"/>
    <x v="1"/>
    <s v="Debts"/>
    <s v="Credit Card"/>
    <n v="9736"/>
  </r>
  <r>
    <x v="122"/>
    <x v="1"/>
    <s v="Care"/>
    <s v="Skincare"/>
    <n v="6548"/>
  </r>
  <r>
    <x v="83"/>
    <x v="1"/>
    <s v="Travel"/>
    <s v="Tour Guide"/>
    <n v="6019"/>
  </r>
  <r>
    <x v="98"/>
    <x v="1"/>
    <s v="Health"/>
    <s v="Yoga"/>
    <n v="4142"/>
  </r>
  <r>
    <x v="119"/>
    <x v="1"/>
    <s v="Misc"/>
    <s v="Magazines"/>
    <n v="6478"/>
  </r>
  <r>
    <x v="63"/>
    <x v="1"/>
    <s v="Housing"/>
    <s v="Insurance"/>
    <n v="8151"/>
  </r>
  <r>
    <x v="114"/>
    <x v="0"/>
    <s v="Freelance"/>
    <s v="Consulting Work"/>
    <n v="20766"/>
  </r>
  <r>
    <x v="42"/>
    <x v="1"/>
    <s v="Education"/>
    <s v="Workshop"/>
    <n v="14883"/>
  </r>
  <r>
    <x v="133"/>
    <x v="1"/>
    <s v="Care"/>
    <s v="Spa"/>
    <n v="15737"/>
  </r>
  <r>
    <x v="151"/>
    <x v="1"/>
    <s v="Debts"/>
    <s v="Loan EMI"/>
    <n v="17652"/>
  </r>
  <r>
    <x v="74"/>
    <x v="1"/>
    <s v="Shopping"/>
    <s v="Electronics"/>
    <n v="16562"/>
  </r>
  <r>
    <x v="152"/>
    <x v="1"/>
    <s v="Misc"/>
    <s v="Magazines"/>
    <n v="15232"/>
  </r>
  <r>
    <x v="95"/>
    <x v="1"/>
    <s v="Housing"/>
    <s v="Rent"/>
    <n v="5676"/>
  </r>
  <r>
    <x v="153"/>
    <x v="0"/>
    <s v="Freelance"/>
    <s v="Design Project"/>
    <n v="41397"/>
  </r>
  <r>
    <x v="81"/>
    <x v="1"/>
    <s v="Transport"/>
    <s v="Metro"/>
    <n v="4647"/>
  </r>
  <r>
    <x v="3"/>
    <x v="0"/>
    <s v="Freelance"/>
    <s v="Consulting Work"/>
    <n v="42774"/>
  </r>
  <r>
    <x v="127"/>
    <x v="1"/>
    <s v="Food"/>
    <s v="Coffee"/>
    <n v="15387"/>
  </r>
  <r>
    <x v="102"/>
    <x v="1"/>
    <s v="Health"/>
    <s v="Medicines"/>
    <n v="12427"/>
  </r>
  <r>
    <x v="67"/>
    <x v="1"/>
    <s v="Food"/>
    <s v="Coffee"/>
    <n v="6704"/>
  </r>
  <r>
    <x v="124"/>
    <x v="1"/>
    <s v="Travel"/>
    <s v="Hotel"/>
    <n v="1162"/>
  </r>
  <r>
    <x v="82"/>
    <x v="1"/>
    <s v="Shopping"/>
    <s v="Electronics"/>
    <n v="4524"/>
  </r>
  <r>
    <x v="30"/>
    <x v="0"/>
    <s v="Passive Income"/>
    <s v="Royalties"/>
    <n v="23532"/>
  </r>
  <r>
    <x v="30"/>
    <x v="1"/>
    <s v="Entertainment"/>
    <s v="Movie"/>
    <n v="19660"/>
  </r>
  <r>
    <x v="53"/>
    <x v="1"/>
    <s v="Housing"/>
    <s v="Mortgage"/>
    <n v="6509"/>
  </r>
  <r>
    <x v="126"/>
    <x v="1"/>
    <s v="Transport"/>
    <s v="Petrol"/>
    <n v="1064"/>
  </r>
  <r>
    <x v="116"/>
    <x v="1"/>
    <s v="Transport"/>
    <s v="Uber"/>
    <n v="3216"/>
  </r>
  <r>
    <x v="109"/>
    <x v="1"/>
    <s v="Debts"/>
    <s v="Credit Card"/>
    <n v="18401"/>
  </r>
  <r>
    <x v="134"/>
    <x v="1"/>
    <s v="Care"/>
    <s v="Skincare"/>
    <n v="17475"/>
  </r>
  <r>
    <x v="123"/>
    <x v="1"/>
    <s v="Housing"/>
    <s v="Insurance"/>
    <n v="9923"/>
  </r>
  <r>
    <x v="68"/>
    <x v="1"/>
    <s v="Misc"/>
    <s v="Bank Fees"/>
    <n v="11924"/>
  </r>
  <r>
    <x v="8"/>
    <x v="1"/>
    <s v="Entertainment"/>
    <s v="Concert"/>
    <n v="9097"/>
  </r>
  <r>
    <x v="69"/>
    <x v="1"/>
    <s v="Debts"/>
    <s v="Credit Card"/>
    <n v="13055"/>
  </r>
  <r>
    <x v="154"/>
    <x v="2"/>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s v="Income"/>
    <x v="0"/>
    <x v="0"/>
    <n v="38211"/>
  </r>
  <r>
    <x v="1"/>
    <s v="Income"/>
    <x v="1"/>
    <x v="1"/>
    <n v="30867"/>
  </r>
  <r>
    <x v="2"/>
    <s v="Income"/>
    <x v="2"/>
    <x v="2"/>
    <n v="20234"/>
  </r>
  <r>
    <x v="3"/>
    <s v="Income"/>
    <x v="0"/>
    <x v="3"/>
    <n v="19398"/>
  </r>
  <r>
    <x v="4"/>
    <s v="Income"/>
    <x v="3"/>
    <x v="4"/>
    <n v="21787"/>
  </r>
  <r>
    <x v="5"/>
    <s v="Income"/>
    <x v="3"/>
    <x v="4"/>
    <n v="38422"/>
  </r>
  <r>
    <x v="6"/>
    <s v="Income"/>
    <x v="1"/>
    <x v="5"/>
    <n v="3606"/>
  </r>
  <r>
    <x v="7"/>
    <s v="Income"/>
    <x v="2"/>
    <x v="2"/>
    <n v="31442"/>
  </r>
  <r>
    <x v="8"/>
    <s v="Income"/>
    <x v="1"/>
    <x v="5"/>
    <n v="38022"/>
  </r>
  <r>
    <x v="9"/>
    <s v="Income"/>
    <x v="0"/>
    <x v="3"/>
    <n v="22199"/>
  </r>
  <r>
    <x v="10"/>
    <s v="Income"/>
    <x v="2"/>
    <x v="6"/>
    <n v="36801"/>
  </r>
  <r>
    <x v="11"/>
    <s v="Income"/>
    <x v="0"/>
    <x v="7"/>
    <n v="28150"/>
  </r>
  <r>
    <x v="12"/>
    <s v="Income"/>
    <x v="0"/>
    <x v="0"/>
    <n v="41463"/>
  </r>
  <r>
    <x v="13"/>
    <s v="Income"/>
    <x v="4"/>
    <x v="8"/>
    <n v="20054"/>
  </r>
  <r>
    <x v="14"/>
    <s v="Income"/>
    <x v="1"/>
    <x v="9"/>
    <n v="20187"/>
  </r>
  <r>
    <x v="15"/>
    <s v="Income"/>
    <x v="0"/>
    <x v="0"/>
    <n v="12413"/>
  </r>
  <r>
    <x v="16"/>
    <s v="Income"/>
    <x v="4"/>
    <x v="8"/>
    <n v="27793"/>
  </r>
  <r>
    <x v="17"/>
    <s v="Income"/>
    <x v="0"/>
    <x v="7"/>
    <n v="22717"/>
  </r>
  <r>
    <x v="18"/>
    <s v="Income"/>
    <x v="4"/>
    <x v="10"/>
    <n v="37873"/>
  </r>
  <r>
    <x v="19"/>
    <s v="Income"/>
    <x v="2"/>
    <x v="6"/>
    <n v="13257"/>
  </r>
  <r>
    <x v="20"/>
    <s v="Income"/>
    <x v="2"/>
    <x v="6"/>
    <n v="8880"/>
  </r>
  <r>
    <x v="21"/>
    <s v="Income"/>
    <x v="0"/>
    <x v="0"/>
    <n v="33142"/>
  </r>
  <r>
    <x v="22"/>
    <s v="Income"/>
    <x v="0"/>
    <x v="7"/>
    <n v="8366"/>
  </r>
  <r>
    <x v="23"/>
    <s v="Income"/>
    <x v="3"/>
    <x v="4"/>
    <n v="29071"/>
  </r>
  <r>
    <x v="24"/>
    <s v="Income"/>
    <x v="3"/>
    <x v="11"/>
    <n v="7909"/>
  </r>
  <r>
    <x v="25"/>
    <s v="Income"/>
    <x v="1"/>
    <x v="9"/>
    <n v="43459"/>
  </r>
  <r>
    <x v="26"/>
    <s v="Income"/>
    <x v="4"/>
    <x v="8"/>
    <n v="13255"/>
  </r>
  <r>
    <x v="27"/>
    <s v="Income"/>
    <x v="0"/>
    <x v="7"/>
    <n v="39716"/>
  </r>
  <r>
    <x v="28"/>
    <s v="Income"/>
    <x v="3"/>
    <x v="4"/>
    <n v="23314"/>
  </r>
  <r>
    <x v="29"/>
    <s v="Income"/>
    <x v="1"/>
    <x v="9"/>
    <n v="27999"/>
  </r>
  <r>
    <x v="30"/>
    <s v="Income"/>
    <x v="4"/>
    <x v="12"/>
    <n v="41896"/>
  </r>
  <r>
    <x v="31"/>
    <s v="Income"/>
    <x v="0"/>
    <x v="3"/>
    <n v="38035"/>
  </r>
  <r>
    <x v="32"/>
    <s v="Income"/>
    <x v="0"/>
    <x v="3"/>
    <n v="33114"/>
  </r>
  <r>
    <x v="33"/>
    <s v="Income"/>
    <x v="0"/>
    <x v="0"/>
    <n v="48094"/>
  </r>
  <r>
    <x v="34"/>
    <s v="Income"/>
    <x v="2"/>
    <x v="2"/>
    <n v="39450"/>
  </r>
  <r>
    <x v="35"/>
    <s v="Income"/>
    <x v="0"/>
    <x v="3"/>
    <n v="44675"/>
  </r>
  <r>
    <x v="36"/>
    <s v="Income"/>
    <x v="2"/>
    <x v="13"/>
    <n v="44171"/>
  </r>
  <r>
    <x v="37"/>
    <s v="Income"/>
    <x v="1"/>
    <x v="1"/>
    <n v="13877"/>
  </r>
  <r>
    <x v="38"/>
    <s v="Income"/>
    <x v="1"/>
    <x v="1"/>
    <n v="24526"/>
  </r>
  <r>
    <x v="39"/>
    <s v="Income"/>
    <x v="1"/>
    <x v="1"/>
    <n v="45211"/>
  </r>
  <r>
    <x v="30"/>
    <s v="Income"/>
    <x v="1"/>
    <x v="1"/>
    <n v="18490"/>
  </r>
  <r>
    <x v="40"/>
    <s v="Income"/>
    <x v="2"/>
    <x v="13"/>
    <n v="3879"/>
  </r>
  <r>
    <x v="41"/>
    <s v="Income"/>
    <x v="2"/>
    <x v="2"/>
    <n v="41653"/>
  </r>
  <r>
    <x v="13"/>
    <s v="Income"/>
    <x v="0"/>
    <x v="3"/>
    <n v="6975"/>
  </r>
  <r>
    <x v="42"/>
    <s v="Income"/>
    <x v="4"/>
    <x v="8"/>
    <n v="20184"/>
  </r>
  <r>
    <x v="43"/>
    <s v="Income"/>
    <x v="1"/>
    <x v="9"/>
    <n v="36968"/>
  </r>
  <r>
    <x v="44"/>
    <s v="Income"/>
    <x v="3"/>
    <x v="11"/>
    <n v="40139"/>
  </r>
  <r>
    <x v="45"/>
    <s v="Income"/>
    <x v="2"/>
    <x v="6"/>
    <n v="8980"/>
  </r>
  <r>
    <x v="16"/>
    <s v="Income"/>
    <x v="2"/>
    <x v="2"/>
    <n v="21384"/>
  </r>
  <r>
    <x v="5"/>
    <s v="Income"/>
    <x v="1"/>
    <x v="5"/>
    <n v="48992"/>
  </r>
  <r>
    <x v="46"/>
    <s v="Income"/>
    <x v="0"/>
    <x v="7"/>
    <n v="46151"/>
  </r>
  <r>
    <x v="47"/>
    <s v="Income"/>
    <x v="4"/>
    <x v="8"/>
    <n v="6987"/>
  </r>
  <r>
    <x v="48"/>
    <s v="Income"/>
    <x v="2"/>
    <x v="6"/>
    <n v="27391"/>
  </r>
  <r>
    <x v="49"/>
    <s v="Income"/>
    <x v="1"/>
    <x v="5"/>
    <n v="15987"/>
  </r>
  <r>
    <x v="50"/>
    <s v="Income"/>
    <x v="4"/>
    <x v="8"/>
    <n v="20094"/>
  </r>
  <r>
    <x v="51"/>
    <s v="Income"/>
    <x v="0"/>
    <x v="7"/>
    <n v="16063"/>
  </r>
  <r>
    <x v="30"/>
    <s v="Income"/>
    <x v="3"/>
    <x v="11"/>
    <n v="33111"/>
  </r>
  <r>
    <x v="52"/>
    <s v="Income"/>
    <x v="2"/>
    <x v="6"/>
    <n v="25995"/>
  </r>
  <r>
    <x v="53"/>
    <s v="Income"/>
    <x v="3"/>
    <x v="4"/>
    <n v="29140"/>
  </r>
  <r>
    <x v="47"/>
    <s v="Income"/>
    <x v="3"/>
    <x v="11"/>
    <n v="30883"/>
  </r>
  <r>
    <x v="54"/>
    <s v="Income"/>
    <x v="2"/>
    <x v="6"/>
    <n v="31618"/>
  </r>
  <r>
    <x v="55"/>
    <s v="Income"/>
    <x v="3"/>
    <x v="11"/>
    <n v="9706"/>
  </r>
  <r>
    <x v="56"/>
    <s v="Income"/>
    <x v="0"/>
    <x v="0"/>
    <n v="31021"/>
  </r>
  <r>
    <x v="21"/>
    <s v="Income"/>
    <x v="3"/>
    <x v="4"/>
    <n v="30368"/>
  </r>
  <r>
    <x v="44"/>
    <s v="Income"/>
    <x v="3"/>
    <x v="4"/>
    <n v="24957"/>
  </r>
  <r>
    <x v="57"/>
    <s v="Income"/>
    <x v="1"/>
    <x v="9"/>
    <n v="39909"/>
  </r>
  <r>
    <x v="58"/>
    <s v="Income"/>
    <x v="0"/>
    <x v="7"/>
    <n v="28225"/>
  </r>
  <r>
    <x v="30"/>
    <s v="Income"/>
    <x v="1"/>
    <x v="1"/>
    <n v="13086"/>
  </r>
  <r>
    <x v="7"/>
    <s v="Income"/>
    <x v="1"/>
    <x v="5"/>
    <n v="20465"/>
  </r>
  <r>
    <x v="31"/>
    <s v="Income"/>
    <x v="1"/>
    <x v="5"/>
    <n v="26725"/>
  </r>
  <r>
    <x v="33"/>
    <s v="Income"/>
    <x v="1"/>
    <x v="9"/>
    <n v="48889"/>
  </r>
  <r>
    <x v="59"/>
    <s v="Income"/>
    <x v="1"/>
    <x v="5"/>
    <n v="9606"/>
  </r>
  <r>
    <x v="60"/>
    <s v="Income"/>
    <x v="3"/>
    <x v="11"/>
    <n v="14749"/>
  </r>
  <r>
    <x v="43"/>
    <s v="Income"/>
    <x v="3"/>
    <x v="11"/>
    <n v="42246"/>
  </r>
  <r>
    <x v="20"/>
    <s v="Income"/>
    <x v="0"/>
    <x v="7"/>
    <n v="43966"/>
  </r>
  <r>
    <x v="61"/>
    <s v="Income"/>
    <x v="1"/>
    <x v="1"/>
    <n v="24272"/>
  </r>
  <r>
    <x v="62"/>
    <s v="Income"/>
    <x v="1"/>
    <x v="9"/>
    <n v="35593"/>
  </r>
  <r>
    <x v="63"/>
    <s v="Income"/>
    <x v="0"/>
    <x v="7"/>
    <n v="44899"/>
  </r>
  <r>
    <x v="64"/>
    <s v="Income"/>
    <x v="3"/>
    <x v="4"/>
    <n v="21865"/>
  </r>
  <r>
    <x v="63"/>
    <s v="Income"/>
    <x v="1"/>
    <x v="5"/>
    <n v="13563"/>
  </r>
  <r>
    <x v="65"/>
    <s v="Income"/>
    <x v="4"/>
    <x v="12"/>
    <n v="23283"/>
  </r>
  <r>
    <x v="66"/>
    <s v="Income"/>
    <x v="1"/>
    <x v="5"/>
    <n v="19994"/>
  </r>
  <r>
    <x v="40"/>
    <s v="Income"/>
    <x v="0"/>
    <x v="7"/>
    <n v="31257"/>
  </r>
  <r>
    <x v="67"/>
    <s v="Income"/>
    <x v="1"/>
    <x v="9"/>
    <n v="14933"/>
  </r>
  <r>
    <x v="68"/>
    <s v="Income"/>
    <x v="1"/>
    <x v="1"/>
    <n v="33041"/>
  </r>
  <r>
    <x v="69"/>
    <s v="Income"/>
    <x v="0"/>
    <x v="7"/>
    <n v="28878"/>
  </r>
  <r>
    <x v="14"/>
    <s v="Income"/>
    <x v="0"/>
    <x v="3"/>
    <n v="41810"/>
  </r>
  <r>
    <x v="70"/>
    <s v="Income"/>
    <x v="2"/>
    <x v="6"/>
    <n v="21741"/>
  </r>
  <r>
    <x v="71"/>
    <s v="Income"/>
    <x v="0"/>
    <x v="3"/>
    <n v="11886"/>
  </r>
  <r>
    <x v="72"/>
    <s v="Income"/>
    <x v="4"/>
    <x v="8"/>
    <n v="12271"/>
  </r>
  <r>
    <x v="73"/>
    <s v="Income"/>
    <x v="4"/>
    <x v="8"/>
    <n v="3223"/>
  </r>
  <r>
    <x v="74"/>
    <s v="Income"/>
    <x v="4"/>
    <x v="12"/>
    <n v="36710"/>
  </r>
  <r>
    <x v="75"/>
    <s v="Income"/>
    <x v="1"/>
    <x v="9"/>
    <n v="3641"/>
  </r>
  <r>
    <x v="44"/>
    <s v="Income"/>
    <x v="2"/>
    <x v="6"/>
    <n v="7997"/>
  </r>
  <r>
    <x v="15"/>
    <s v="Income"/>
    <x v="2"/>
    <x v="6"/>
    <n v="9993"/>
  </r>
  <r>
    <x v="76"/>
    <s v="Income"/>
    <x v="1"/>
    <x v="1"/>
    <n v="22072"/>
  </r>
  <r>
    <x v="77"/>
    <s v="Income"/>
    <x v="3"/>
    <x v="14"/>
    <n v="20766"/>
  </r>
  <r>
    <x v="78"/>
    <s v="Income"/>
    <x v="3"/>
    <x v="4"/>
    <n v="41397"/>
  </r>
  <r>
    <x v="2"/>
    <s v="Income"/>
    <x v="3"/>
    <x v="14"/>
    <n v="42774"/>
  </r>
  <r>
    <x v="49"/>
    <s v="Income"/>
    <x v="1"/>
    <x v="5"/>
    <n v="2353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x v="0"/>
    <s v="Expense"/>
    <x v="0"/>
    <x v="0"/>
    <n v="2941"/>
  </r>
  <r>
    <x v="1"/>
    <s v="Expense"/>
    <x v="1"/>
    <x v="1"/>
    <n v="9800"/>
  </r>
  <r>
    <x v="2"/>
    <s v="Expense"/>
    <x v="2"/>
    <x v="2"/>
    <n v="3341"/>
  </r>
  <r>
    <x v="3"/>
    <s v="Expense"/>
    <x v="3"/>
    <x v="3"/>
    <n v="17385"/>
  </r>
  <r>
    <x v="4"/>
    <s v="Expense"/>
    <x v="1"/>
    <x v="4"/>
    <n v="8257"/>
  </r>
  <r>
    <x v="5"/>
    <s v="Expense"/>
    <x v="1"/>
    <x v="1"/>
    <n v="6142"/>
  </r>
  <r>
    <x v="6"/>
    <s v="Expense"/>
    <x v="4"/>
    <x v="5"/>
    <n v="8150"/>
  </r>
  <r>
    <x v="7"/>
    <s v="Expense"/>
    <x v="5"/>
    <x v="6"/>
    <n v="11242"/>
  </r>
  <r>
    <x v="8"/>
    <s v="Expense"/>
    <x v="4"/>
    <x v="7"/>
    <n v="18810"/>
  </r>
  <r>
    <x v="9"/>
    <s v="Expense"/>
    <x v="4"/>
    <x v="8"/>
    <n v="6035"/>
  </r>
  <r>
    <x v="10"/>
    <s v="Expense"/>
    <x v="6"/>
    <x v="9"/>
    <n v="19162"/>
  </r>
  <r>
    <x v="11"/>
    <s v="Expense"/>
    <x v="2"/>
    <x v="10"/>
    <n v="10158"/>
  </r>
  <r>
    <x v="12"/>
    <s v="Expense"/>
    <x v="2"/>
    <x v="10"/>
    <n v="15743"/>
  </r>
  <r>
    <x v="13"/>
    <s v="Expense"/>
    <x v="7"/>
    <x v="11"/>
    <n v="10471"/>
  </r>
  <r>
    <x v="14"/>
    <s v="Expense"/>
    <x v="6"/>
    <x v="12"/>
    <n v="14619"/>
  </r>
  <r>
    <x v="15"/>
    <s v="Expense"/>
    <x v="2"/>
    <x v="2"/>
    <n v="17757"/>
  </r>
  <r>
    <x v="16"/>
    <s v="Expense"/>
    <x v="8"/>
    <x v="13"/>
    <n v="885"/>
  </r>
  <r>
    <x v="17"/>
    <s v="Expense"/>
    <x v="6"/>
    <x v="14"/>
    <n v="15602"/>
  </r>
  <r>
    <x v="18"/>
    <s v="Expense"/>
    <x v="3"/>
    <x v="15"/>
    <n v="4947"/>
  </r>
  <r>
    <x v="19"/>
    <s v="Expense"/>
    <x v="1"/>
    <x v="16"/>
    <n v="19730"/>
  </r>
  <r>
    <x v="20"/>
    <s v="Expense"/>
    <x v="2"/>
    <x v="2"/>
    <n v="6119"/>
  </r>
  <r>
    <x v="21"/>
    <s v="Expense"/>
    <x v="8"/>
    <x v="17"/>
    <n v="13029"/>
  </r>
  <r>
    <x v="22"/>
    <s v="Expense"/>
    <x v="1"/>
    <x v="4"/>
    <n v="1628"/>
  </r>
  <r>
    <x v="23"/>
    <s v="Expense"/>
    <x v="0"/>
    <x v="0"/>
    <n v="719"/>
  </r>
  <r>
    <x v="24"/>
    <s v="Expense"/>
    <x v="9"/>
    <x v="18"/>
    <n v="408"/>
  </r>
  <r>
    <x v="25"/>
    <s v="Expense"/>
    <x v="0"/>
    <x v="19"/>
    <n v="8300"/>
  </r>
  <r>
    <x v="26"/>
    <s v="Expense"/>
    <x v="1"/>
    <x v="16"/>
    <n v="19575"/>
  </r>
  <r>
    <x v="27"/>
    <s v="Expense"/>
    <x v="9"/>
    <x v="20"/>
    <n v="3099"/>
  </r>
  <r>
    <x v="28"/>
    <s v="Expense"/>
    <x v="8"/>
    <x v="21"/>
    <n v="1403"/>
  </r>
  <r>
    <x v="29"/>
    <s v="Expense"/>
    <x v="2"/>
    <x v="10"/>
    <n v="14987"/>
  </r>
  <r>
    <x v="30"/>
    <s v="Expense"/>
    <x v="10"/>
    <x v="22"/>
    <n v="16968"/>
  </r>
  <r>
    <x v="31"/>
    <s v="Expense"/>
    <x v="11"/>
    <x v="23"/>
    <n v="5273"/>
  </r>
  <r>
    <x v="32"/>
    <s v="Expense"/>
    <x v="8"/>
    <x v="21"/>
    <n v="14750"/>
  </r>
  <r>
    <x v="33"/>
    <s v="Expense"/>
    <x v="0"/>
    <x v="24"/>
    <n v="12400"/>
  </r>
  <r>
    <x v="34"/>
    <s v="Expense"/>
    <x v="8"/>
    <x v="17"/>
    <n v="12706"/>
  </r>
  <r>
    <x v="35"/>
    <s v="Expense"/>
    <x v="11"/>
    <x v="25"/>
    <n v="11704"/>
  </r>
  <r>
    <x v="36"/>
    <s v="Expense"/>
    <x v="10"/>
    <x v="26"/>
    <n v="18182"/>
  </r>
  <r>
    <x v="37"/>
    <s v="Expense"/>
    <x v="1"/>
    <x v="4"/>
    <n v="5622"/>
  </r>
  <r>
    <x v="38"/>
    <s v="Expense"/>
    <x v="9"/>
    <x v="27"/>
    <n v="783"/>
  </r>
  <r>
    <x v="39"/>
    <s v="Expense"/>
    <x v="3"/>
    <x v="28"/>
    <n v="1062"/>
  </r>
  <r>
    <x v="40"/>
    <s v="Expense"/>
    <x v="10"/>
    <x v="29"/>
    <n v="2768"/>
  </r>
  <r>
    <x v="41"/>
    <s v="Expense"/>
    <x v="1"/>
    <x v="1"/>
    <n v="19345"/>
  </r>
  <r>
    <x v="42"/>
    <s v="Expense"/>
    <x v="4"/>
    <x v="7"/>
    <n v="7170"/>
  </r>
  <r>
    <x v="43"/>
    <s v="Expense"/>
    <x v="4"/>
    <x v="8"/>
    <n v="11804"/>
  </r>
  <r>
    <x v="44"/>
    <s v="Expense"/>
    <x v="8"/>
    <x v="17"/>
    <n v="19873"/>
  </r>
  <r>
    <x v="45"/>
    <s v="Expense"/>
    <x v="3"/>
    <x v="3"/>
    <n v="6264"/>
  </r>
  <r>
    <x v="43"/>
    <s v="Expense"/>
    <x v="10"/>
    <x v="29"/>
    <n v="14993"/>
  </r>
  <r>
    <x v="46"/>
    <s v="Expense"/>
    <x v="9"/>
    <x v="27"/>
    <n v="9318"/>
  </r>
  <r>
    <x v="47"/>
    <s v="Expense"/>
    <x v="4"/>
    <x v="5"/>
    <n v="2965"/>
  </r>
  <r>
    <x v="31"/>
    <s v="Expense"/>
    <x v="8"/>
    <x v="13"/>
    <n v="18092"/>
  </r>
  <r>
    <x v="48"/>
    <s v="Expense"/>
    <x v="0"/>
    <x v="30"/>
    <n v="5991"/>
  </r>
  <r>
    <x v="49"/>
    <s v="Expense"/>
    <x v="4"/>
    <x v="7"/>
    <n v="323"/>
  </r>
  <r>
    <x v="50"/>
    <s v="Expense"/>
    <x v="10"/>
    <x v="29"/>
    <n v="4215"/>
  </r>
  <r>
    <x v="51"/>
    <s v="Expense"/>
    <x v="8"/>
    <x v="13"/>
    <n v="3303"/>
  </r>
  <r>
    <x v="52"/>
    <s v="Expense"/>
    <x v="4"/>
    <x v="8"/>
    <n v="6557"/>
  </r>
  <r>
    <x v="53"/>
    <s v="Expense"/>
    <x v="8"/>
    <x v="13"/>
    <n v="1702"/>
  </r>
  <r>
    <x v="54"/>
    <s v="Expense"/>
    <x v="7"/>
    <x v="31"/>
    <n v="7151"/>
  </r>
  <r>
    <x v="55"/>
    <s v="Expense"/>
    <x v="1"/>
    <x v="16"/>
    <n v="13945"/>
  </r>
  <r>
    <x v="24"/>
    <s v="Expense"/>
    <x v="9"/>
    <x v="20"/>
    <n v="16658"/>
  </r>
  <r>
    <x v="56"/>
    <s v="Expense"/>
    <x v="10"/>
    <x v="22"/>
    <n v="14786"/>
  </r>
  <r>
    <x v="57"/>
    <s v="Expense"/>
    <x v="2"/>
    <x v="32"/>
    <n v="2687"/>
  </r>
  <r>
    <x v="26"/>
    <s v="Expense"/>
    <x v="3"/>
    <x v="3"/>
    <n v="4976"/>
  </r>
  <r>
    <x v="32"/>
    <s v="Expense"/>
    <x v="9"/>
    <x v="27"/>
    <n v="18582"/>
  </r>
  <r>
    <x v="58"/>
    <s v="Expense"/>
    <x v="7"/>
    <x v="33"/>
    <n v="9729"/>
  </r>
  <r>
    <x v="59"/>
    <s v="Expense"/>
    <x v="11"/>
    <x v="34"/>
    <n v="1914"/>
  </r>
  <r>
    <x v="60"/>
    <s v="Expense"/>
    <x v="2"/>
    <x v="2"/>
    <n v="14585"/>
  </r>
  <r>
    <x v="61"/>
    <s v="Expense"/>
    <x v="1"/>
    <x v="16"/>
    <n v="13837"/>
  </r>
  <r>
    <x v="62"/>
    <s v="Expense"/>
    <x v="1"/>
    <x v="1"/>
    <n v="3005"/>
  </r>
  <r>
    <x v="63"/>
    <s v="Expense"/>
    <x v="3"/>
    <x v="28"/>
    <n v="10671"/>
  </r>
  <r>
    <x v="64"/>
    <s v="Expense"/>
    <x v="10"/>
    <x v="22"/>
    <n v="15416"/>
  </r>
  <r>
    <x v="27"/>
    <s v="Expense"/>
    <x v="4"/>
    <x v="5"/>
    <n v="6951"/>
  </r>
  <r>
    <x v="65"/>
    <s v="Expense"/>
    <x v="9"/>
    <x v="18"/>
    <n v="10113"/>
  </r>
  <r>
    <x v="66"/>
    <s v="Expense"/>
    <x v="9"/>
    <x v="18"/>
    <n v="2882"/>
  </r>
  <r>
    <x v="67"/>
    <s v="Expense"/>
    <x v="5"/>
    <x v="35"/>
    <n v="5488"/>
  </r>
  <r>
    <x v="48"/>
    <s v="Expense"/>
    <x v="3"/>
    <x v="28"/>
    <n v="15883"/>
  </r>
  <r>
    <x v="68"/>
    <s v="Expense"/>
    <x v="0"/>
    <x v="30"/>
    <n v="11553"/>
  </r>
  <r>
    <x v="69"/>
    <s v="Expense"/>
    <x v="10"/>
    <x v="22"/>
    <n v="10040"/>
  </r>
  <r>
    <x v="70"/>
    <s v="Expense"/>
    <x v="11"/>
    <x v="36"/>
    <n v="14536"/>
  </r>
  <r>
    <x v="71"/>
    <s v="Expense"/>
    <x v="0"/>
    <x v="30"/>
    <n v="11999"/>
  </r>
  <r>
    <x v="72"/>
    <s v="Expense"/>
    <x v="9"/>
    <x v="37"/>
    <n v="16821"/>
  </r>
  <r>
    <x v="67"/>
    <s v="Expense"/>
    <x v="4"/>
    <x v="8"/>
    <n v="8918"/>
  </r>
  <r>
    <x v="17"/>
    <s v="Expense"/>
    <x v="0"/>
    <x v="19"/>
    <n v="14270"/>
  </r>
  <r>
    <x v="73"/>
    <s v="Expense"/>
    <x v="5"/>
    <x v="38"/>
    <n v="7375"/>
  </r>
  <r>
    <x v="13"/>
    <s v="Expense"/>
    <x v="1"/>
    <x v="4"/>
    <n v="9612"/>
  </r>
  <r>
    <x v="55"/>
    <s v="Expense"/>
    <x v="1"/>
    <x v="39"/>
    <n v="4810"/>
  </r>
  <r>
    <x v="44"/>
    <s v="Expense"/>
    <x v="7"/>
    <x v="11"/>
    <n v="4836"/>
  </r>
  <r>
    <x v="74"/>
    <s v="Expense"/>
    <x v="0"/>
    <x v="24"/>
    <n v="4772"/>
  </r>
  <r>
    <x v="9"/>
    <s v="Expense"/>
    <x v="10"/>
    <x v="29"/>
    <n v="7471"/>
  </r>
  <r>
    <x v="75"/>
    <s v="Expense"/>
    <x v="5"/>
    <x v="40"/>
    <n v="3554"/>
  </r>
  <r>
    <x v="76"/>
    <s v="Expense"/>
    <x v="11"/>
    <x v="25"/>
    <n v="13923"/>
  </r>
  <r>
    <x v="77"/>
    <s v="Expense"/>
    <x v="7"/>
    <x v="11"/>
    <n v="3005"/>
  </r>
  <r>
    <x v="78"/>
    <s v="Expense"/>
    <x v="1"/>
    <x v="4"/>
    <n v="1979"/>
  </r>
  <r>
    <x v="15"/>
    <s v="Expense"/>
    <x v="3"/>
    <x v="28"/>
    <n v="3029"/>
  </r>
  <r>
    <x v="51"/>
    <s v="Expense"/>
    <x v="7"/>
    <x v="31"/>
    <n v="14225"/>
  </r>
  <r>
    <x v="79"/>
    <s v="Expense"/>
    <x v="1"/>
    <x v="39"/>
    <n v="8176"/>
  </r>
  <r>
    <x v="11"/>
    <s v="Expense"/>
    <x v="1"/>
    <x v="4"/>
    <n v="9117"/>
  </r>
  <r>
    <x v="29"/>
    <s v="Expense"/>
    <x v="9"/>
    <x v="37"/>
    <n v="4726"/>
  </r>
  <r>
    <x v="5"/>
    <s v="Expense"/>
    <x v="8"/>
    <x v="13"/>
    <n v="6505"/>
  </r>
  <r>
    <x v="37"/>
    <s v="Expense"/>
    <x v="6"/>
    <x v="41"/>
    <n v="12908"/>
  </r>
  <r>
    <x v="59"/>
    <s v="Expense"/>
    <x v="2"/>
    <x v="32"/>
    <n v="3517"/>
  </r>
  <r>
    <x v="79"/>
    <s v="Expense"/>
    <x v="8"/>
    <x v="17"/>
    <n v="17978"/>
  </r>
  <r>
    <x v="80"/>
    <s v="Expense"/>
    <x v="3"/>
    <x v="28"/>
    <n v="13450"/>
  </r>
  <r>
    <x v="38"/>
    <s v="Expense"/>
    <x v="4"/>
    <x v="8"/>
    <n v="18408"/>
  </r>
  <r>
    <x v="81"/>
    <s v="Expense"/>
    <x v="9"/>
    <x v="37"/>
    <n v="18560"/>
  </r>
  <r>
    <x v="2"/>
    <s v="Expense"/>
    <x v="2"/>
    <x v="2"/>
    <n v="11911"/>
  </r>
  <r>
    <x v="19"/>
    <s v="Expense"/>
    <x v="3"/>
    <x v="28"/>
    <n v="5287"/>
  </r>
  <r>
    <x v="33"/>
    <s v="Expense"/>
    <x v="0"/>
    <x v="19"/>
    <n v="14060"/>
  </r>
  <r>
    <x v="82"/>
    <s v="Expense"/>
    <x v="5"/>
    <x v="35"/>
    <n v="7488"/>
  </r>
  <r>
    <x v="68"/>
    <s v="Expense"/>
    <x v="5"/>
    <x v="38"/>
    <n v="12001"/>
  </r>
  <r>
    <x v="83"/>
    <s v="Expense"/>
    <x v="8"/>
    <x v="13"/>
    <n v="902"/>
  </r>
  <r>
    <x v="84"/>
    <s v="Expense"/>
    <x v="2"/>
    <x v="32"/>
    <n v="10492"/>
  </r>
  <r>
    <x v="16"/>
    <s v="Expense"/>
    <x v="3"/>
    <x v="28"/>
    <n v="14972"/>
  </r>
  <r>
    <x v="85"/>
    <s v="Expense"/>
    <x v="0"/>
    <x v="30"/>
    <n v="1749"/>
  </r>
  <r>
    <x v="86"/>
    <s v="Expense"/>
    <x v="11"/>
    <x v="23"/>
    <n v="1193"/>
  </r>
  <r>
    <x v="87"/>
    <s v="Expense"/>
    <x v="1"/>
    <x v="4"/>
    <n v="7776"/>
  </r>
  <r>
    <x v="88"/>
    <s v="Expense"/>
    <x v="7"/>
    <x v="42"/>
    <n v="12776"/>
  </r>
  <r>
    <x v="17"/>
    <s v="Expense"/>
    <x v="2"/>
    <x v="2"/>
    <n v="3197"/>
  </r>
  <r>
    <x v="89"/>
    <s v="Expense"/>
    <x v="9"/>
    <x v="37"/>
    <n v="6240"/>
  </r>
  <r>
    <x v="90"/>
    <s v="Expense"/>
    <x v="8"/>
    <x v="21"/>
    <n v="16562"/>
  </r>
  <r>
    <x v="91"/>
    <s v="Expense"/>
    <x v="5"/>
    <x v="40"/>
    <n v="12079"/>
  </r>
  <r>
    <x v="91"/>
    <s v="Expense"/>
    <x v="3"/>
    <x v="28"/>
    <n v="16931"/>
  </r>
  <r>
    <x v="62"/>
    <s v="Expense"/>
    <x v="2"/>
    <x v="32"/>
    <n v="5347"/>
  </r>
  <r>
    <x v="78"/>
    <s v="Expense"/>
    <x v="11"/>
    <x v="34"/>
    <n v="18382"/>
  </r>
  <r>
    <x v="80"/>
    <s v="Expense"/>
    <x v="7"/>
    <x v="33"/>
    <n v="7665"/>
  </r>
  <r>
    <x v="92"/>
    <s v="Expense"/>
    <x v="9"/>
    <x v="37"/>
    <n v="5485"/>
  </r>
  <r>
    <x v="93"/>
    <s v="Expense"/>
    <x v="7"/>
    <x v="11"/>
    <n v="13589"/>
  </r>
  <r>
    <x v="85"/>
    <s v="Expense"/>
    <x v="9"/>
    <x v="37"/>
    <n v="5325"/>
  </r>
  <r>
    <x v="63"/>
    <s v="Expense"/>
    <x v="0"/>
    <x v="30"/>
    <n v="4724"/>
  </r>
  <r>
    <x v="62"/>
    <s v="Expense"/>
    <x v="3"/>
    <x v="28"/>
    <n v="10991"/>
  </r>
  <r>
    <x v="18"/>
    <s v="Expense"/>
    <x v="2"/>
    <x v="2"/>
    <n v="15709"/>
  </r>
  <r>
    <x v="94"/>
    <s v="Expense"/>
    <x v="1"/>
    <x v="4"/>
    <n v="12062"/>
  </r>
  <r>
    <x v="95"/>
    <s v="Expense"/>
    <x v="3"/>
    <x v="15"/>
    <n v="13598"/>
  </r>
  <r>
    <x v="29"/>
    <s v="Expense"/>
    <x v="1"/>
    <x v="4"/>
    <n v="687"/>
  </r>
  <r>
    <x v="16"/>
    <s v="Expense"/>
    <x v="7"/>
    <x v="33"/>
    <n v="14380"/>
  </r>
  <r>
    <x v="96"/>
    <s v="Expense"/>
    <x v="0"/>
    <x v="24"/>
    <n v="8302"/>
  </r>
  <r>
    <x v="2"/>
    <s v="Expense"/>
    <x v="5"/>
    <x v="35"/>
    <n v="6603"/>
  </r>
  <r>
    <x v="97"/>
    <s v="Expense"/>
    <x v="8"/>
    <x v="21"/>
    <n v="14548"/>
  </r>
  <r>
    <x v="5"/>
    <s v="Expense"/>
    <x v="7"/>
    <x v="42"/>
    <n v="8242"/>
  </r>
  <r>
    <x v="98"/>
    <s v="Expense"/>
    <x v="11"/>
    <x v="34"/>
    <n v="5238"/>
  </r>
  <r>
    <x v="99"/>
    <s v="Expense"/>
    <x v="10"/>
    <x v="29"/>
    <n v="14511"/>
  </r>
  <r>
    <x v="100"/>
    <s v="Expense"/>
    <x v="5"/>
    <x v="40"/>
    <n v="2629"/>
  </r>
  <r>
    <x v="52"/>
    <s v="Expense"/>
    <x v="7"/>
    <x v="42"/>
    <n v="17120"/>
  </r>
  <r>
    <x v="101"/>
    <s v="Expense"/>
    <x v="5"/>
    <x v="38"/>
    <n v="10804"/>
  </r>
  <r>
    <x v="101"/>
    <s v="Expense"/>
    <x v="3"/>
    <x v="3"/>
    <n v="3079"/>
  </r>
  <r>
    <x v="102"/>
    <s v="Expense"/>
    <x v="2"/>
    <x v="32"/>
    <n v="18548"/>
  </r>
  <r>
    <x v="85"/>
    <s v="Expense"/>
    <x v="2"/>
    <x v="2"/>
    <n v="16628"/>
  </r>
  <r>
    <x v="60"/>
    <s v="Expense"/>
    <x v="3"/>
    <x v="28"/>
    <n v="614"/>
  </r>
  <r>
    <x v="55"/>
    <s v="Expense"/>
    <x v="2"/>
    <x v="2"/>
    <n v="8997"/>
  </r>
  <r>
    <x v="88"/>
    <s v="Expense"/>
    <x v="0"/>
    <x v="24"/>
    <n v="18749"/>
  </r>
  <r>
    <x v="83"/>
    <s v="Expense"/>
    <x v="6"/>
    <x v="12"/>
    <n v="8672"/>
  </r>
  <r>
    <x v="92"/>
    <s v="Expense"/>
    <x v="11"/>
    <x v="25"/>
    <n v="13059"/>
  </r>
  <r>
    <x v="103"/>
    <s v="Expense"/>
    <x v="6"/>
    <x v="12"/>
    <n v="9132"/>
  </r>
  <r>
    <x v="48"/>
    <s v="Expense"/>
    <x v="8"/>
    <x v="21"/>
    <n v="10825"/>
  </r>
  <r>
    <x v="104"/>
    <s v="Expense"/>
    <x v="7"/>
    <x v="33"/>
    <n v="8809"/>
  </r>
  <r>
    <x v="9"/>
    <s v="Expense"/>
    <x v="11"/>
    <x v="36"/>
    <n v="8246"/>
  </r>
  <r>
    <x v="69"/>
    <s v="Expense"/>
    <x v="7"/>
    <x v="42"/>
    <n v="2440"/>
  </r>
  <r>
    <x v="3"/>
    <s v="Expense"/>
    <x v="3"/>
    <x v="28"/>
    <n v="19469"/>
  </r>
  <r>
    <x v="105"/>
    <s v="Expense"/>
    <x v="3"/>
    <x v="28"/>
    <n v="19303"/>
  </r>
  <r>
    <x v="33"/>
    <s v="Expense"/>
    <x v="2"/>
    <x v="10"/>
    <n v="7391"/>
  </r>
  <r>
    <x v="106"/>
    <s v="Expense"/>
    <x v="0"/>
    <x v="19"/>
    <n v="9792"/>
  </r>
  <r>
    <x v="107"/>
    <s v="Expense"/>
    <x v="1"/>
    <x v="1"/>
    <n v="7827"/>
  </r>
  <r>
    <x v="89"/>
    <s v="Expense"/>
    <x v="6"/>
    <x v="14"/>
    <n v="13423"/>
  </r>
  <r>
    <x v="36"/>
    <s v="Expense"/>
    <x v="3"/>
    <x v="3"/>
    <n v="10988"/>
  </r>
  <r>
    <x v="99"/>
    <s v="Expense"/>
    <x v="6"/>
    <x v="41"/>
    <n v="2135"/>
  </r>
  <r>
    <x v="51"/>
    <s v="Expense"/>
    <x v="7"/>
    <x v="31"/>
    <n v="17976"/>
  </r>
  <r>
    <x v="108"/>
    <s v="Expense"/>
    <x v="1"/>
    <x v="39"/>
    <n v="9117"/>
  </r>
  <r>
    <x v="109"/>
    <s v="Expense"/>
    <x v="7"/>
    <x v="33"/>
    <n v="16441"/>
  </r>
  <r>
    <x v="110"/>
    <s v="Expense"/>
    <x v="8"/>
    <x v="13"/>
    <n v="17996"/>
  </r>
  <r>
    <x v="91"/>
    <s v="Expense"/>
    <x v="8"/>
    <x v="17"/>
    <n v="14542"/>
  </r>
  <r>
    <x v="32"/>
    <s v="Expense"/>
    <x v="5"/>
    <x v="40"/>
    <n v="12824"/>
  </r>
  <r>
    <x v="111"/>
    <s v="Expense"/>
    <x v="11"/>
    <x v="25"/>
    <n v="5931"/>
  </r>
  <r>
    <x v="50"/>
    <s v="Expense"/>
    <x v="6"/>
    <x v="9"/>
    <n v="6625"/>
  </r>
  <r>
    <x v="99"/>
    <s v="Expense"/>
    <x v="5"/>
    <x v="6"/>
    <n v="2561"/>
  </r>
  <r>
    <x v="58"/>
    <s v="Expense"/>
    <x v="1"/>
    <x v="1"/>
    <n v="4216"/>
  </r>
  <r>
    <x v="50"/>
    <s v="Expense"/>
    <x v="11"/>
    <x v="36"/>
    <n v="15023"/>
  </r>
  <r>
    <x v="106"/>
    <s v="Expense"/>
    <x v="4"/>
    <x v="7"/>
    <n v="691"/>
  </r>
  <r>
    <x v="43"/>
    <s v="Expense"/>
    <x v="0"/>
    <x v="30"/>
    <n v="17504"/>
  </r>
  <r>
    <x v="83"/>
    <s v="Expense"/>
    <x v="11"/>
    <x v="34"/>
    <n v="5137"/>
  </r>
  <r>
    <x v="112"/>
    <s v="Expense"/>
    <x v="4"/>
    <x v="5"/>
    <n v="15839"/>
  </r>
  <r>
    <x v="113"/>
    <s v="Expense"/>
    <x v="2"/>
    <x v="2"/>
    <n v="8146"/>
  </r>
  <r>
    <x v="114"/>
    <s v="Expense"/>
    <x v="9"/>
    <x v="20"/>
    <n v="10910"/>
  </r>
  <r>
    <x v="115"/>
    <s v="Expense"/>
    <x v="9"/>
    <x v="18"/>
    <n v="335"/>
  </r>
  <r>
    <x v="62"/>
    <s v="Expense"/>
    <x v="9"/>
    <x v="27"/>
    <n v="11077"/>
  </r>
  <r>
    <x v="91"/>
    <s v="Expense"/>
    <x v="8"/>
    <x v="17"/>
    <n v="11773"/>
  </r>
  <r>
    <x v="116"/>
    <s v="Expense"/>
    <x v="1"/>
    <x v="1"/>
    <n v="12382"/>
  </r>
  <r>
    <x v="71"/>
    <s v="Expense"/>
    <x v="4"/>
    <x v="5"/>
    <n v="8792"/>
  </r>
  <r>
    <x v="39"/>
    <s v="Expense"/>
    <x v="10"/>
    <x v="26"/>
    <n v="1874"/>
  </r>
  <r>
    <x v="117"/>
    <s v="Expense"/>
    <x v="2"/>
    <x v="32"/>
    <n v="13669"/>
  </r>
  <r>
    <x v="118"/>
    <s v="Expense"/>
    <x v="7"/>
    <x v="31"/>
    <n v="9824"/>
  </r>
  <r>
    <x v="101"/>
    <s v="Expense"/>
    <x v="8"/>
    <x v="21"/>
    <n v="17981"/>
  </r>
  <r>
    <x v="68"/>
    <s v="Expense"/>
    <x v="9"/>
    <x v="20"/>
    <n v="1669"/>
  </r>
  <r>
    <x v="118"/>
    <s v="Expense"/>
    <x v="9"/>
    <x v="27"/>
    <n v="15242"/>
  </r>
  <r>
    <x v="45"/>
    <s v="Expense"/>
    <x v="0"/>
    <x v="24"/>
    <n v="19361"/>
  </r>
  <r>
    <x v="119"/>
    <s v="Expense"/>
    <x v="11"/>
    <x v="36"/>
    <n v="17920"/>
  </r>
  <r>
    <x v="120"/>
    <s v="Expense"/>
    <x v="11"/>
    <x v="23"/>
    <n v="19331"/>
  </r>
  <r>
    <x v="10"/>
    <s v="Expense"/>
    <x v="4"/>
    <x v="43"/>
    <n v="17071"/>
  </r>
  <r>
    <x v="121"/>
    <s v="Expense"/>
    <x v="6"/>
    <x v="9"/>
    <n v="15987"/>
  </r>
  <r>
    <x v="122"/>
    <s v="Expense"/>
    <x v="1"/>
    <x v="16"/>
    <n v="1416"/>
  </r>
  <r>
    <x v="68"/>
    <s v="Expense"/>
    <x v="4"/>
    <x v="5"/>
    <n v="4121"/>
  </r>
  <r>
    <x v="46"/>
    <s v="Expense"/>
    <x v="2"/>
    <x v="2"/>
    <n v="15831"/>
  </r>
  <r>
    <x v="73"/>
    <s v="Expense"/>
    <x v="7"/>
    <x v="33"/>
    <n v="17706"/>
  </r>
  <r>
    <x v="123"/>
    <s v="Expense"/>
    <x v="11"/>
    <x v="25"/>
    <n v="19699"/>
  </r>
  <r>
    <x v="115"/>
    <s v="Expense"/>
    <x v="5"/>
    <x v="38"/>
    <n v="11067"/>
  </r>
  <r>
    <x v="124"/>
    <s v="Expense"/>
    <x v="2"/>
    <x v="32"/>
    <n v="18224"/>
  </r>
  <r>
    <x v="125"/>
    <s v="Expense"/>
    <x v="2"/>
    <x v="2"/>
    <n v="12497"/>
  </r>
  <r>
    <x v="106"/>
    <s v="Expense"/>
    <x v="10"/>
    <x v="26"/>
    <n v="2400"/>
  </r>
  <r>
    <x v="16"/>
    <s v="Expense"/>
    <x v="10"/>
    <x v="22"/>
    <n v="16674"/>
  </r>
  <r>
    <x v="43"/>
    <s v="Expense"/>
    <x v="7"/>
    <x v="11"/>
    <n v="4031"/>
  </r>
  <r>
    <x v="126"/>
    <s v="Expense"/>
    <x v="10"/>
    <x v="29"/>
    <n v="3848"/>
  </r>
  <r>
    <x v="127"/>
    <s v="Expense"/>
    <x v="7"/>
    <x v="11"/>
    <n v="14961"/>
  </r>
  <r>
    <x v="128"/>
    <s v="Expense"/>
    <x v="11"/>
    <x v="36"/>
    <n v="16022"/>
  </r>
  <r>
    <x v="129"/>
    <s v="Expense"/>
    <x v="6"/>
    <x v="41"/>
    <n v="611"/>
  </r>
  <r>
    <x v="23"/>
    <s v="Expense"/>
    <x v="6"/>
    <x v="12"/>
    <n v="12285"/>
  </r>
  <r>
    <x v="83"/>
    <s v="Expense"/>
    <x v="0"/>
    <x v="24"/>
    <n v="17554"/>
  </r>
  <r>
    <x v="70"/>
    <s v="Expense"/>
    <x v="6"/>
    <x v="41"/>
    <n v="285"/>
  </r>
  <r>
    <x v="115"/>
    <s v="Expense"/>
    <x v="11"/>
    <x v="23"/>
    <n v="8843"/>
  </r>
  <r>
    <x v="62"/>
    <s v="Expense"/>
    <x v="0"/>
    <x v="30"/>
    <n v="14901"/>
  </r>
  <r>
    <x v="71"/>
    <s v="Expense"/>
    <x v="2"/>
    <x v="10"/>
    <n v="965"/>
  </r>
  <r>
    <x v="130"/>
    <s v="Expense"/>
    <x v="5"/>
    <x v="35"/>
    <n v="13739"/>
  </r>
  <r>
    <x v="131"/>
    <s v="Expense"/>
    <x v="9"/>
    <x v="37"/>
    <n v="2723"/>
  </r>
  <r>
    <x v="63"/>
    <s v="Expense"/>
    <x v="11"/>
    <x v="25"/>
    <n v="4808"/>
  </r>
  <r>
    <x v="117"/>
    <s v="Expense"/>
    <x v="9"/>
    <x v="20"/>
    <n v="11307"/>
  </r>
  <r>
    <x v="52"/>
    <s v="Expense"/>
    <x v="10"/>
    <x v="29"/>
    <n v="9736"/>
  </r>
  <r>
    <x v="100"/>
    <s v="Expense"/>
    <x v="3"/>
    <x v="3"/>
    <n v="6548"/>
  </r>
  <r>
    <x v="67"/>
    <s v="Expense"/>
    <x v="2"/>
    <x v="32"/>
    <n v="6019"/>
  </r>
  <r>
    <x v="77"/>
    <s v="Expense"/>
    <x v="0"/>
    <x v="0"/>
    <n v="4142"/>
  </r>
  <r>
    <x v="94"/>
    <s v="Expense"/>
    <x v="8"/>
    <x v="21"/>
    <n v="6478"/>
  </r>
  <r>
    <x v="51"/>
    <s v="Expense"/>
    <x v="9"/>
    <x v="18"/>
    <n v="8151"/>
  </r>
  <r>
    <x v="31"/>
    <s v="Expense"/>
    <x v="4"/>
    <x v="8"/>
    <n v="14883"/>
  </r>
  <r>
    <x v="116"/>
    <s v="Expense"/>
    <x v="3"/>
    <x v="15"/>
    <n v="15737"/>
  </r>
  <r>
    <x v="132"/>
    <s v="Expense"/>
    <x v="10"/>
    <x v="22"/>
    <n v="17652"/>
  </r>
  <r>
    <x v="115"/>
    <s v="Expense"/>
    <x v="7"/>
    <x v="11"/>
    <n v="16562"/>
  </r>
  <r>
    <x v="133"/>
    <s v="Expense"/>
    <x v="8"/>
    <x v="21"/>
    <n v="15232"/>
  </r>
  <r>
    <x v="74"/>
    <s v="Expense"/>
    <x v="9"/>
    <x v="27"/>
    <n v="5676"/>
  </r>
  <r>
    <x v="65"/>
    <s v="Expense"/>
    <x v="11"/>
    <x v="25"/>
    <n v="4647"/>
  </r>
  <r>
    <x v="134"/>
    <s v="Expense"/>
    <x v="1"/>
    <x v="39"/>
    <n v="15387"/>
  </r>
  <r>
    <x v="113"/>
    <s v="Expense"/>
    <x v="0"/>
    <x v="19"/>
    <n v="12427"/>
  </r>
  <r>
    <x v="54"/>
    <s v="Expense"/>
    <x v="1"/>
    <x v="39"/>
    <n v="6704"/>
  </r>
  <r>
    <x v="102"/>
    <s v="Expense"/>
    <x v="2"/>
    <x v="10"/>
    <n v="1162"/>
  </r>
  <r>
    <x v="66"/>
    <s v="Expense"/>
    <x v="7"/>
    <x v="11"/>
    <n v="4524"/>
  </r>
  <r>
    <x v="35"/>
    <s v="Expense"/>
    <x v="6"/>
    <x v="12"/>
    <n v="19660"/>
  </r>
  <r>
    <x v="43"/>
    <s v="Expense"/>
    <x v="9"/>
    <x v="20"/>
    <n v="6509"/>
  </r>
  <r>
    <x v="104"/>
    <s v="Expense"/>
    <x v="11"/>
    <x v="36"/>
    <n v="1064"/>
  </r>
  <r>
    <x v="92"/>
    <s v="Expense"/>
    <x v="11"/>
    <x v="23"/>
    <n v="3216"/>
  </r>
  <r>
    <x v="135"/>
    <s v="Expense"/>
    <x v="10"/>
    <x v="29"/>
    <n v="18401"/>
  </r>
  <r>
    <x v="117"/>
    <s v="Expense"/>
    <x v="3"/>
    <x v="3"/>
    <n v="17475"/>
  </r>
  <r>
    <x v="101"/>
    <s v="Expense"/>
    <x v="9"/>
    <x v="18"/>
    <n v="9923"/>
  </r>
  <r>
    <x v="55"/>
    <s v="Expense"/>
    <x v="8"/>
    <x v="17"/>
    <n v="11924"/>
  </r>
  <r>
    <x v="4"/>
    <s v="Expense"/>
    <x v="6"/>
    <x v="9"/>
    <n v="9097"/>
  </r>
  <r>
    <x v="56"/>
    <s v="Expense"/>
    <x v="10"/>
    <x v="29"/>
    <n v="130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135ADC-DB82-4492-8431-600F45B7B46B}" name="Pivot_Top5Expenses"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7">
    <pivotField numFmtId="165" showAll="0">
      <items count="137">
        <item x="59"/>
        <item x="109"/>
        <item x="7"/>
        <item x="47"/>
        <item x="50"/>
        <item x="105"/>
        <item x="57"/>
        <item x="19"/>
        <item x="114"/>
        <item x="69"/>
        <item x="68"/>
        <item x="12"/>
        <item x="39"/>
        <item x="91"/>
        <item x="119"/>
        <item x="48"/>
        <item x="25"/>
        <item x="129"/>
        <item x="15"/>
        <item x="97"/>
        <item x="4"/>
        <item x="124"/>
        <item x="71"/>
        <item x="58"/>
        <item x="33"/>
        <item x="32"/>
        <item x="49"/>
        <item x="132"/>
        <item x="62"/>
        <item x="54"/>
        <item x="29"/>
        <item x="111"/>
        <item x="18"/>
        <item x="65"/>
        <item x="117"/>
        <item x="77"/>
        <item x="31"/>
        <item x="20"/>
        <item x="21"/>
        <item x="26"/>
        <item x="44"/>
        <item x="121"/>
        <item x="28"/>
        <item x="83"/>
        <item x="70"/>
        <item x="30"/>
        <item x="2"/>
        <item x="106"/>
        <item x="45"/>
        <item x="9"/>
        <item x="107"/>
        <item x="133"/>
        <item x="8"/>
        <item x="5"/>
        <item x="53"/>
        <item x="23"/>
        <item x="78"/>
        <item x="74"/>
        <item x="55"/>
        <item x="27"/>
        <item x="104"/>
        <item x="22"/>
        <item x="76"/>
        <item x="98"/>
        <item x="64"/>
        <item x="85"/>
        <item x="86"/>
        <item x="38"/>
        <item x="80"/>
        <item x="40"/>
        <item x="93"/>
        <item x="52"/>
        <item x="131"/>
        <item x="46"/>
        <item x="36"/>
        <item x="10"/>
        <item x="128"/>
        <item x="11"/>
        <item x="123"/>
        <item x="122"/>
        <item x="73"/>
        <item x="61"/>
        <item x="79"/>
        <item x="125"/>
        <item x="118"/>
        <item x="130"/>
        <item x="16"/>
        <item x="134"/>
        <item x="120"/>
        <item x="81"/>
        <item x="110"/>
        <item x="96"/>
        <item x="6"/>
        <item x="94"/>
        <item x="82"/>
        <item x="72"/>
        <item x="42"/>
        <item x="84"/>
        <item x="35"/>
        <item x="60"/>
        <item x="116"/>
        <item x="14"/>
        <item x="113"/>
        <item x="92"/>
        <item x="99"/>
        <item x="34"/>
        <item x="66"/>
        <item x="126"/>
        <item x="56"/>
        <item x="24"/>
        <item x="87"/>
        <item x="90"/>
        <item x="115"/>
        <item x="88"/>
        <item x="63"/>
        <item x="17"/>
        <item x="108"/>
        <item x="0"/>
        <item x="102"/>
        <item x="13"/>
        <item x="37"/>
        <item x="95"/>
        <item x="3"/>
        <item x="67"/>
        <item x="100"/>
        <item x="1"/>
        <item x="89"/>
        <item x="75"/>
        <item x="103"/>
        <item x="43"/>
        <item x="112"/>
        <item x="41"/>
        <item x="127"/>
        <item x="135"/>
        <item x="101"/>
        <item x="51"/>
        <item t="default"/>
      </items>
    </pivotField>
    <pivotField showAll="0"/>
    <pivotField showAll="0">
      <items count="13">
        <item x="3"/>
        <item x="10"/>
        <item x="4"/>
        <item x="6"/>
        <item x="1"/>
        <item x="0"/>
        <item x="9"/>
        <item x="8"/>
        <item x="7"/>
        <item x="11"/>
        <item x="2"/>
        <item x="5"/>
        <item t="default"/>
      </items>
    </pivotField>
    <pivotField axis="axisRow" showAll="0" measureFilter="1" sortType="descending">
      <items count="45">
        <item x="42"/>
        <item x="17"/>
        <item x="7"/>
        <item x="34"/>
        <item x="13"/>
        <item x="31"/>
        <item x="39"/>
        <item x="9"/>
        <item x="43"/>
        <item x="29"/>
        <item x="16"/>
        <item x="24"/>
        <item x="40"/>
        <item x="11"/>
        <item x="2"/>
        <item x="14"/>
        <item x="33"/>
        <item x="1"/>
        <item x="30"/>
        <item x="28"/>
        <item x="10"/>
        <item x="18"/>
        <item x="35"/>
        <item x="22"/>
        <item x="21"/>
        <item x="37"/>
        <item x="19"/>
        <item x="25"/>
        <item x="6"/>
        <item x="20"/>
        <item x="12"/>
        <item x="41"/>
        <item x="36"/>
        <item x="27"/>
        <item x="3"/>
        <item x="15"/>
        <item x="26"/>
        <item x="32"/>
        <item x="5"/>
        <item x="23"/>
        <item x="38"/>
        <item x="8"/>
        <item x="0"/>
        <item x="4"/>
        <item t="default"/>
      </items>
      <autoSortScope>
        <pivotArea dataOnly="0" outline="0" fieldPosition="0">
          <references count="1">
            <reference field="4294967294" count="1" selected="0">
              <x v="0"/>
            </reference>
          </references>
        </pivotArea>
      </autoSortScope>
    </pivotField>
    <pivotField dataField="1" numFmtId="166" showAll="0"/>
    <pivotField showAll="0" defaultSubtotal="0">
      <items count="14">
        <item x="0"/>
        <item x="1"/>
        <item x="2"/>
        <item x="3"/>
        <item x="4"/>
        <item x="5"/>
        <item x="6"/>
        <item x="7"/>
        <item x="8"/>
        <item x="9"/>
        <item x="10"/>
        <item x="11"/>
        <item x="12"/>
        <item x="13"/>
      </items>
    </pivotField>
    <pivotField showAll="0" defaultSubtotal="0">
      <items count="3">
        <item x="0"/>
        <item x="1"/>
        <item x="2"/>
      </items>
    </pivotField>
  </pivotFields>
  <rowFields count="1">
    <field x="3"/>
  </rowFields>
  <rowItems count="6">
    <i>
      <x v="14"/>
    </i>
    <i>
      <x v="19"/>
    </i>
    <i>
      <x v="1"/>
    </i>
    <i>
      <x v="24"/>
    </i>
    <i>
      <x v="23"/>
    </i>
    <i t="grand">
      <x/>
    </i>
  </rowItems>
  <colItems count="1">
    <i/>
  </colItems>
  <dataFields count="1">
    <dataField name="Sum of Amount" fld="4" baseField="0" baseItem="0" numFmtId="166"/>
  </dataFields>
  <formats count="22">
    <format dxfId="249">
      <pivotArea field="3" type="button" dataOnly="0" labelOnly="1" outline="0" axis="axisRow" fieldPosition="0"/>
    </format>
    <format dxfId="248">
      <pivotArea field="3" type="button" dataOnly="0" labelOnly="1" outline="0" axis="axisRow" fieldPosition="0"/>
    </format>
    <format dxfId="247">
      <pivotArea dataOnly="0" labelOnly="1" outline="0" axis="axisValues" fieldPosition="0"/>
    </format>
    <format dxfId="246">
      <pivotArea type="all" dataOnly="0" outline="0" fieldPosition="0"/>
    </format>
    <format dxfId="245">
      <pivotArea outline="0" collapsedLevelsAreSubtotals="1" fieldPosition="0"/>
    </format>
    <format dxfId="244">
      <pivotArea field="3" type="button" dataOnly="0" labelOnly="1" outline="0" axis="axisRow" fieldPosition="0"/>
    </format>
    <format dxfId="243">
      <pivotArea dataOnly="0" labelOnly="1" fieldPosition="0">
        <references count="1">
          <reference field="3" count="5">
            <x v="1"/>
            <x v="14"/>
            <x v="19"/>
            <x v="23"/>
            <x v="24"/>
          </reference>
        </references>
      </pivotArea>
    </format>
    <format dxfId="242">
      <pivotArea dataOnly="0" labelOnly="1" grandRow="1" outline="0" fieldPosition="0"/>
    </format>
    <format dxfId="241">
      <pivotArea dataOnly="0" labelOnly="1" outline="0" axis="axisValues" fieldPosition="0"/>
    </format>
    <format dxfId="240">
      <pivotArea dataOnly="0" labelOnly="1" grandRow="1" outline="0" fieldPosition="0"/>
    </format>
    <format dxfId="239">
      <pivotArea dataOnly="0" labelOnly="1" grandRow="1" outline="0" fieldPosition="0"/>
    </format>
    <format dxfId="238">
      <pivotArea grandRow="1" outline="0" collapsedLevelsAreSubtotals="1" fieldPosition="0"/>
    </format>
    <format dxfId="237">
      <pivotArea grandRow="1" outline="0" collapsedLevelsAreSubtotals="1" fieldPosition="0"/>
    </format>
    <format dxfId="236">
      <pivotArea dataOnly="0" labelOnly="1" fieldPosition="0">
        <references count="1">
          <reference field="3" count="1">
            <x v="14"/>
          </reference>
        </references>
      </pivotArea>
    </format>
    <format dxfId="235">
      <pivotArea collapsedLevelsAreSubtotals="1" fieldPosition="0">
        <references count="1">
          <reference field="3" count="1">
            <x v="14"/>
          </reference>
        </references>
      </pivotArea>
    </format>
    <format dxfId="234">
      <pivotArea dataOnly="0" labelOnly="1" fieldPosition="0">
        <references count="1">
          <reference field="3" count="1">
            <x v="14"/>
          </reference>
        </references>
      </pivotArea>
    </format>
    <format dxfId="233">
      <pivotArea collapsedLevelsAreSubtotals="1" fieldPosition="0">
        <references count="1">
          <reference field="3" count="1">
            <x v="14"/>
          </reference>
        </references>
      </pivotArea>
    </format>
    <format dxfId="232">
      <pivotArea collapsedLevelsAreSubtotals="1" fieldPosition="0">
        <references count="1">
          <reference field="3" count="1">
            <x v="14"/>
          </reference>
        </references>
      </pivotArea>
    </format>
    <format dxfId="231">
      <pivotArea collapsedLevelsAreSubtotals="1" fieldPosition="0">
        <references count="1">
          <reference field="3" count="1">
            <x v="19"/>
          </reference>
        </references>
      </pivotArea>
    </format>
    <format dxfId="230">
      <pivotArea collapsedLevelsAreSubtotals="1" fieldPosition="0">
        <references count="1">
          <reference field="3" count="1">
            <x v="1"/>
          </reference>
        </references>
      </pivotArea>
    </format>
    <format dxfId="229">
      <pivotArea collapsedLevelsAreSubtotals="1" fieldPosition="0">
        <references count="1">
          <reference field="3" count="1">
            <x v="24"/>
          </reference>
        </references>
      </pivotArea>
    </format>
    <format dxfId="228">
      <pivotArea collapsedLevelsAreSubtotals="1" fieldPosition="0">
        <references count="1">
          <reference field="3" count="1">
            <x v="23"/>
          </reference>
        </references>
      </pivotArea>
    </format>
  </formats>
  <chartFormats count="8">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23"/>
          </reference>
        </references>
      </pivotArea>
    </chartFormat>
    <chartFormat chart="4" format="5">
      <pivotArea type="data" outline="0" fieldPosition="0">
        <references count="2">
          <reference field="4294967294" count="1" selected="0">
            <x v="0"/>
          </reference>
          <reference field="3" count="1" selected="0">
            <x v="24"/>
          </reference>
        </references>
      </pivotArea>
    </chartFormat>
    <chartFormat chart="4" format="6">
      <pivotArea type="data" outline="0" fieldPosition="0">
        <references count="2">
          <reference field="4294967294" count="1" selected="0">
            <x v="0"/>
          </reference>
          <reference field="3" count="1" selected="0">
            <x v="1"/>
          </reference>
        </references>
      </pivotArea>
    </chartFormat>
    <chartFormat chart="4" format="7">
      <pivotArea type="data" outline="0" fieldPosition="0">
        <references count="2">
          <reference field="4294967294" count="1" selected="0">
            <x v="0"/>
          </reference>
          <reference field="3" count="1" selected="0">
            <x v="19"/>
          </reference>
        </references>
      </pivotArea>
    </chartFormat>
    <chartFormat chart="4" format="8">
      <pivotArea type="data" outline="0" fieldPosition="0">
        <references count="2">
          <reference field="4294967294" count="1" selected="0">
            <x v="0"/>
          </reference>
          <reference field="3" count="1" selected="0">
            <x v="14"/>
          </reference>
        </references>
      </pivotArea>
    </chartFormat>
  </chartFormats>
  <pivotTableStyleInfo name="PivotStyleMedium15"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C5E509-CE01-4C8E-B951-F5E57F86F6D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9" firstHeaderRow="1" firstDataRow="1" firstDataCol="1"/>
  <pivotFields count="7">
    <pivotField numFmtId="165" showAll="0">
      <items count="80">
        <item x="31"/>
        <item x="27"/>
        <item x="73"/>
        <item x="43"/>
        <item x="20"/>
        <item x="68"/>
        <item x="2"/>
        <item x="38"/>
        <item x="53"/>
        <item x="65"/>
        <item x="9"/>
        <item x="21"/>
        <item x="40"/>
        <item x="44"/>
        <item x="63"/>
        <item x="6"/>
        <item x="15"/>
        <item x="35"/>
        <item x="70"/>
        <item x="33"/>
        <item x="10"/>
        <item x="69"/>
        <item x="59"/>
        <item x="49"/>
        <item x="54"/>
        <item x="50"/>
        <item x="24"/>
        <item x="16"/>
        <item x="5"/>
        <item x="74"/>
        <item x="28"/>
        <item x="34"/>
        <item x="48"/>
        <item x="29"/>
        <item x="30"/>
        <item x="42"/>
        <item x="22"/>
        <item x="57"/>
        <item x="14"/>
        <item x="32"/>
        <item x="47"/>
        <item x="13"/>
        <item x="12"/>
        <item x="11"/>
        <item x="51"/>
        <item x="67"/>
        <item x="76"/>
        <item x="61"/>
        <item x="46"/>
        <item x="17"/>
        <item x="71"/>
        <item x="55"/>
        <item x="0"/>
        <item x="52"/>
        <item x="41"/>
        <item x="8"/>
        <item x="72"/>
        <item x="1"/>
        <item x="78"/>
        <item x="75"/>
        <item x="39"/>
        <item x="25"/>
        <item x="19"/>
        <item x="77"/>
        <item x="23"/>
        <item x="56"/>
        <item x="4"/>
        <item x="60"/>
        <item x="66"/>
        <item x="64"/>
        <item x="37"/>
        <item x="3"/>
        <item x="7"/>
        <item x="62"/>
        <item x="26"/>
        <item x="36"/>
        <item x="18"/>
        <item x="45"/>
        <item x="58"/>
        <item t="default"/>
      </items>
    </pivotField>
    <pivotField showAll="0"/>
    <pivotField showAll="0">
      <items count="6">
        <item x="3"/>
        <item x="0"/>
        <item x="2"/>
        <item x="1"/>
        <item x="4"/>
        <item t="default"/>
      </items>
    </pivotField>
    <pivotField axis="axisRow" showAll="0" measureFilter="1">
      <items count="16">
        <item x="9"/>
        <item x="2"/>
        <item x="12"/>
        <item x="10"/>
        <item x="14"/>
        <item x="3"/>
        <item x="4"/>
        <item x="6"/>
        <item x="8"/>
        <item x="0"/>
        <item x="1"/>
        <item x="5"/>
        <item x="7"/>
        <item x="13"/>
        <item x="11"/>
        <item t="default"/>
      </items>
    </pivotField>
    <pivotField dataField="1" numFmtId="166" showAll="0"/>
    <pivotField showAll="0" defaultSubtotal="0">
      <items count="14">
        <item x="0"/>
        <item x="1"/>
        <item x="2"/>
        <item x="3"/>
        <item x="4"/>
        <item x="5"/>
        <item x="6"/>
        <item x="7"/>
        <item x="8"/>
        <item x="9"/>
        <item x="10"/>
        <item x="11"/>
        <item x="12"/>
        <item x="13"/>
      </items>
    </pivotField>
    <pivotField showAll="0" defaultSubtotal="0">
      <items count="3">
        <item x="0"/>
        <item x="1"/>
        <item x="2"/>
      </items>
    </pivotField>
  </pivotFields>
  <rowFields count="1">
    <field x="3"/>
  </rowFields>
  <rowItems count="6">
    <i>
      <x/>
    </i>
    <i>
      <x v="6"/>
    </i>
    <i>
      <x v="10"/>
    </i>
    <i>
      <x v="11"/>
    </i>
    <i>
      <x v="12"/>
    </i>
    <i t="grand">
      <x/>
    </i>
  </rowItems>
  <colItems count="1">
    <i/>
  </colItems>
  <dataFields count="1">
    <dataField name="Sum of Amount" fld="4" baseField="0" baseItem="0" numFmtId="166"/>
  </dataFields>
  <formats count="15">
    <format dxfId="227">
      <pivotArea outline="0" collapsedLevelsAreSubtotals="1" fieldPosition="0"/>
    </format>
    <format dxfId="226">
      <pivotArea dataOnly="0" labelOnly="1" fieldPosition="0">
        <references count="1">
          <reference field="3" count="5">
            <x v="0"/>
            <x v="6"/>
            <x v="10"/>
            <x v="11"/>
            <x v="12"/>
          </reference>
        </references>
      </pivotArea>
    </format>
    <format dxfId="225">
      <pivotArea dataOnly="0" labelOnly="1" grandRow="1" outline="0" fieldPosition="0"/>
    </format>
    <format dxfId="224">
      <pivotArea dataOnly="0" labelOnly="1" grandRow="1" outline="0" fieldPosition="0"/>
    </format>
    <format dxfId="223">
      <pivotArea grandRow="1" outline="0" collapsedLevelsAreSubtotals="1" fieldPosition="0"/>
    </format>
    <format dxfId="222">
      <pivotArea grandRow="1" outline="0" collapsedLevelsAreSubtotals="1" fieldPosition="0"/>
    </format>
    <format dxfId="221">
      <pivotArea type="all" dataOnly="0" outline="0" fieldPosition="0"/>
    </format>
    <format dxfId="220">
      <pivotArea outline="0" collapsedLevelsAreSubtotals="1" fieldPosition="0"/>
    </format>
    <format dxfId="219">
      <pivotArea field="3" type="button" dataOnly="0" labelOnly="1" outline="0" axis="axisRow" fieldPosition="0"/>
    </format>
    <format dxfId="218">
      <pivotArea dataOnly="0" labelOnly="1" fieldPosition="0">
        <references count="1">
          <reference field="3" count="5">
            <x v="0"/>
            <x v="6"/>
            <x v="10"/>
            <x v="11"/>
            <x v="12"/>
          </reference>
        </references>
      </pivotArea>
    </format>
    <format dxfId="217">
      <pivotArea dataOnly="0" labelOnly="1" grandRow="1" outline="0" fieldPosition="0"/>
    </format>
    <format dxfId="216">
      <pivotArea dataOnly="0" labelOnly="1" outline="0" axis="axisValues" fieldPosition="0"/>
    </format>
    <format dxfId="215">
      <pivotArea grandRow="1" outline="0" collapsedLevelsAreSubtotals="1" fieldPosition="0"/>
    </format>
    <format dxfId="214">
      <pivotArea field="3" type="button" dataOnly="0" labelOnly="1" outline="0" axis="axisRow" fieldPosition="0"/>
    </format>
    <format dxfId="213">
      <pivotArea dataOnly="0" labelOnly="1" outline="0" axis="axisValues" fieldPosition="0"/>
    </format>
  </formats>
  <chartFormats count="6">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3" count="1" selected="0">
            <x v="12"/>
          </reference>
        </references>
      </pivotArea>
    </chartFormat>
    <chartFormat chart="6" format="4">
      <pivotArea type="data" outline="0" fieldPosition="0">
        <references count="2">
          <reference field="4294967294" count="1" selected="0">
            <x v="0"/>
          </reference>
          <reference field="3" count="1" selected="0">
            <x v="11"/>
          </reference>
        </references>
      </pivotArea>
    </chartFormat>
    <chartFormat chart="6" format="5">
      <pivotArea type="data" outline="0" fieldPosition="0">
        <references count="2">
          <reference field="4294967294" count="1" selected="0">
            <x v="0"/>
          </reference>
          <reference field="3" count="1" selected="0">
            <x v="10"/>
          </reference>
        </references>
      </pivotArea>
    </chartFormat>
    <chartFormat chart="6" format="6">
      <pivotArea type="data" outline="0" fieldPosition="0">
        <references count="2">
          <reference field="4294967294" count="1" selected="0">
            <x v="0"/>
          </reference>
          <reference field="3" count="1" selected="0">
            <x v="6"/>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Medium14"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6CBF81-69E2-4533-B0C5-C1719BD1493C}" name="Pivot_ExpensebyCategory"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N12" firstHeaderRow="1" firstDataRow="2" firstDataCol="1"/>
  <pivotFields count="7">
    <pivotField numFmtId="165" showAll="0">
      <items count="137">
        <item x="59"/>
        <item x="109"/>
        <item x="7"/>
        <item x="47"/>
        <item x="50"/>
        <item x="105"/>
        <item x="57"/>
        <item x="19"/>
        <item x="114"/>
        <item x="69"/>
        <item x="68"/>
        <item x="12"/>
        <item x="39"/>
        <item x="91"/>
        <item x="119"/>
        <item x="48"/>
        <item x="25"/>
        <item x="129"/>
        <item x="15"/>
        <item x="97"/>
        <item x="4"/>
        <item x="124"/>
        <item x="71"/>
        <item x="58"/>
        <item x="33"/>
        <item x="32"/>
        <item x="49"/>
        <item x="132"/>
        <item x="62"/>
        <item x="54"/>
        <item x="29"/>
        <item x="111"/>
        <item x="18"/>
        <item x="65"/>
        <item x="117"/>
        <item x="77"/>
        <item x="31"/>
        <item x="20"/>
        <item x="21"/>
        <item x="26"/>
        <item x="44"/>
        <item x="121"/>
        <item x="28"/>
        <item x="83"/>
        <item x="70"/>
        <item x="30"/>
        <item x="2"/>
        <item x="106"/>
        <item x="45"/>
        <item x="9"/>
        <item x="107"/>
        <item x="133"/>
        <item x="8"/>
        <item x="5"/>
        <item x="53"/>
        <item x="23"/>
        <item x="78"/>
        <item x="74"/>
        <item x="55"/>
        <item x="27"/>
        <item x="104"/>
        <item x="22"/>
        <item x="76"/>
        <item x="98"/>
        <item x="64"/>
        <item x="85"/>
        <item x="86"/>
        <item x="38"/>
        <item x="80"/>
        <item x="40"/>
        <item x="93"/>
        <item x="52"/>
        <item x="131"/>
        <item x="46"/>
        <item x="36"/>
        <item x="10"/>
        <item x="128"/>
        <item x="11"/>
        <item x="123"/>
        <item x="122"/>
        <item x="73"/>
        <item x="61"/>
        <item x="79"/>
        <item x="125"/>
        <item x="118"/>
        <item x="130"/>
        <item x="16"/>
        <item x="134"/>
        <item x="120"/>
        <item x="81"/>
        <item x="110"/>
        <item x="96"/>
        <item x="6"/>
        <item x="94"/>
        <item x="82"/>
        <item x="72"/>
        <item x="42"/>
        <item x="84"/>
        <item x="35"/>
        <item x="60"/>
        <item x="116"/>
        <item x="14"/>
        <item x="113"/>
        <item x="92"/>
        <item x="99"/>
        <item x="34"/>
        <item x="66"/>
        <item x="126"/>
        <item x="56"/>
        <item x="24"/>
        <item x="87"/>
        <item x="90"/>
        <item x="115"/>
        <item x="88"/>
        <item x="63"/>
        <item x="17"/>
        <item x="108"/>
        <item x="0"/>
        <item x="102"/>
        <item x="13"/>
        <item x="37"/>
        <item x="95"/>
        <item x="3"/>
        <item x="67"/>
        <item x="100"/>
        <item x="1"/>
        <item x="89"/>
        <item x="75"/>
        <item x="103"/>
        <item x="43"/>
        <item x="112"/>
        <item x="41"/>
        <item x="127"/>
        <item x="135"/>
        <item x="101"/>
        <item x="51"/>
        <item t="default"/>
      </items>
    </pivotField>
    <pivotField showAll="0"/>
    <pivotField axis="axisCol" showAll="0">
      <items count="13">
        <item x="3"/>
        <item x="10"/>
        <item x="4"/>
        <item x="6"/>
        <item x="1"/>
        <item x="0"/>
        <item x="9"/>
        <item x="8"/>
        <item x="7"/>
        <item x="11"/>
        <item x="2"/>
        <item x="5"/>
        <item t="default"/>
      </items>
    </pivotField>
    <pivotField showAll="0"/>
    <pivotField dataField="1" numFmtId="166" showAll="0"/>
    <pivotField axis="axisRow" showAll="0">
      <items count="15">
        <item x="0"/>
        <item x="1"/>
        <item x="2"/>
        <item x="3"/>
        <item x="4"/>
        <item x="5"/>
        <item x="6"/>
        <item x="7"/>
        <item x="8"/>
        <item x="9"/>
        <item x="10"/>
        <item x="11"/>
        <item x="12"/>
        <item x="13"/>
        <item t="default"/>
      </items>
    </pivotField>
    <pivotField axis="axisRow" showAll="0">
      <items count="4">
        <item x="0"/>
        <item x="1"/>
        <item x="2"/>
        <item t="default"/>
      </items>
    </pivotField>
  </pivotFields>
  <rowFields count="2">
    <field x="6"/>
    <field x="5"/>
  </rowFields>
  <rowItems count="8">
    <i>
      <x v="1"/>
    </i>
    <i r="1">
      <x v="1"/>
    </i>
    <i r="1">
      <x v="2"/>
    </i>
    <i r="1">
      <x v="3"/>
    </i>
    <i r="1">
      <x v="4"/>
    </i>
    <i r="1">
      <x v="5"/>
    </i>
    <i r="1">
      <x v="6"/>
    </i>
    <i t="grand">
      <x/>
    </i>
  </rowItems>
  <colFields count="1">
    <field x="2"/>
  </colFields>
  <colItems count="13">
    <i>
      <x/>
    </i>
    <i>
      <x v="1"/>
    </i>
    <i>
      <x v="2"/>
    </i>
    <i>
      <x v="3"/>
    </i>
    <i>
      <x v="4"/>
    </i>
    <i>
      <x v="5"/>
    </i>
    <i>
      <x v="6"/>
    </i>
    <i>
      <x v="7"/>
    </i>
    <i>
      <x v="8"/>
    </i>
    <i>
      <x v="9"/>
    </i>
    <i>
      <x v="10"/>
    </i>
    <i>
      <x v="11"/>
    </i>
    <i t="grand">
      <x/>
    </i>
  </colItems>
  <dataFields count="1">
    <dataField name="Sum of Amount" fld="4" baseField="0" baseItem="0" numFmtId="166"/>
  </dataFields>
  <formats count="69">
    <format dxfId="210">
      <pivotArea type="all" dataOnly="0" outline="0" fieldPosition="0"/>
    </format>
    <format dxfId="209">
      <pivotArea outline="0" collapsedLevelsAreSubtotals="1" fieldPosition="0"/>
    </format>
    <format dxfId="208">
      <pivotArea type="origin" dataOnly="0" labelOnly="1" outline="0" fieldPosition="0"/>
    </format>
    <format dxfId="207">
      <pivotArea field="2" type="button" dataOnly="0" labelOnly="1" outline="0" axis="axisCol" fieldPosition="0"/>
    </format>
    <format dxfId="206">
      <pivotArea type="topRight" dataOnly="0" labelOnly="1" outline="0" fieldPosition="0"/>
    </format>
    <format dxfId="205">
      <pivotArea field="6" type="button" dataOnly="0" labelOnly="1" outline="0" axis="axisRow" fieldPosition="0"/>
    </format>
    <format dxfId="204">
      <pivotArea dataOnly="0" labelOnly="1" fieldPosition="0">
        <references count="1">
          <reference field="6" count="1">
            <x v="1"/>
          </reference>
        </references>
      </pivotArea>
    </format>
    <format dxfId="203">
      <pivotArea dataOnly="0" labelOnly="1" grandRow="1" outline="0" fieldPosition="0"/>
    </format>
    <format dxfId="202">
      <pivotArea dataOnly="0" labelOnly="1" fieldPosition="0">
        <references count="2">
          <reference field="5" count="6">
            <x v="1"/>
            <x v="2"/>
            <x v="3"/>
            <x v="4"/>
            <x v="5"/>
            <x v="6"/>
          </reference>
          <reference field="6" count="1" selected="0">
            <x v="1"/>
          </reference>
        </references>
      </pivotArea>
    </format>
    <format dxfId="201">
      <pivotArea dataOnly="0" labelOnly="1" fieldPosition="0">
        <references count="1">
          <reference field="2" count="0"/>
        </references>
      </pivotArea>
    </format>
    <format dxfId="200">
      <pivotArea dataOnly="0" labelOnly="1" grandCol="1" outline="0" fieldPosition="0"/>
    </format>
    <format dxfId="199">
      <pivotArea type="origin" dataOnly="0" labelOnly="1" outline="0" fieldPosition="0"/>
    </format>
    <format dxfId="198">
      <pivotArea type="origin" dataOnly="0" labelOnly="1" outline="0" fieldPosition="0"/>
    </format>
    <format dxfId="197">
      <pivotArea field="2" type="button" dataOnly="0" labelOnly="1" outline="0" axis="axisCol" fieldPosition="0"/>
    </format>
    <format dxfId="196">
      <pivotArea type="topRight" dataOnly="0" labelOnly="1" outline="0" offset="A1" fieldPosition="0"/>
    </format>
    <format dxfId="195">
      <pivotArea type="topRight" dataOnly="0" labelOnly="1" outline="0" offset="B1" fieldPosition="0"/>
    </format>
    <format dxfId="194">
      <pivotArea type="topRight" dataOnly="0" labelOnly="1" outline="0" offset="C1" fieldPosition="0"/>
    </format>
    <format dxfId="193">
      <pivotArea type="topRight" dataOnly="0" labelOnly="1" outline="0" offset="D1" fieldPosition="0"/>
    </format>
    <format dxfId="192">
      <pivotArea type="topRight" dataOnly="0" labelOnly="1" outline="0" offset="E1" fieldPosition="0"/>
    </format>
    <format dxfId="191">
      <pivotArea type="topRight" dataOnly="0" labelOnly="1" outline="0" offset="F1" fieldPosition="0"/>
    </format>
    <format dxfId="190">
      <pivotArea type="topRight" dataOnly="0" labelOnly="1" outline="0" offset="G1" fieldPosition="0"/>
    </format>
    <format dxfId="189">
      <pivotArea type="topRight" dataOnly="0" labelOnly="1" outline="0" offset="H1" fieldPosition="0"/>
    </format>
    <format dxfId="188">
      <pivotArea type="topRight" dataOnly="0" labelOnly="1" outline="0" offset="I1" fieldPosition="0"/>
    </format>
    <format dxfId="187">
      <pivotArea type="topRight" dataOnly="0" labelOnly="1" outline="0" offset="J1" fieldPosition="0"/>
    </format>
    <format dxfId="186">
      <pivotArea type="topRight" dataOnly="0" labelOnly="1" outline="0" offset="K1" fieldPosition="0"/>
    </format>
    <format dxfId="185">
      <pivotArea type="topRight" dataOnly="0" labelOnly="1" outline="0" offset="L1" fieldPosition="0"/>
    </format>
    <format dxfId="184">
      <pivotArea field="6" type="button" dataOnly="0" labelOnly="1" outline="0" axis="axisRow" fieldPosition="0"/>
    </format>
    <format dxfId="183">
      <pivotArea field="6" type="button" dataOnly="0" labelOnly="1" outline="0" axis="axisRow" fieldPosition="0"/>
    </format>
    <format dxfId="182">
      <pivotArea dataOnly="0" labelOnly="1" fieldPosition="0">
        <references count="1">
          <reference field="2" count="1">
            <x v="0"/>
          </reference>
        </references>
      </pivotArea>
    </format>
    <format dxfId="181">
      <pivotArea dataOnly="0" labelOnly="1" fieldPosition="0">
        <references count="1">
          <reference field="2" count="1">
            <x v="1"/>
          </reference>
        </references>
      </pivotArea>
    </format>
    <format dxfId="180">
      <pivotArea dataOnly="0" labelOnly="1" fieldPosition="0">
        <references count="1">
          <reference field="2" count="1">
            <x v="2"/>
          </reference>
        </references>
      </pivotArea>
    </format>
    <format dxfId="179">
      <pivotArea dataOnly="0" labelOnly="1" fieldPosition="0">
        <references count="1">
          <reference field="2" count="1">
            <x v="3"/>
          </reference>
        </references>
      </pivotArea>
    </format>
    <format dxfId="178">
      <pivotArea dataOnly="0" labelOnly="1" fieldPosition="0">
        <references count="1">
          <reference field="2" count="1">
            <x v="4"/>
          </reference>
        </references>
      </pivotArea>
    </format>
    <format dxfId="177">
      <pivotArea dataOnly="0" labelOnly="1" fieldPosition="0">
        <references count="1">
          <reference field="2" count="1">
            <x v="5"/>
          </reference>
        </references>
      </pivotArea>
    </format>
    <format dxfId="176">
      <pivotArea dataOnly="0" labelOnly="1" fieldPosition="0">
        <references count="1">
          <reference field="2" count="1">
            <x v="6"/>
          </reference>
        </references>
      </pivotArea>
    </format>
    <format dxfId="175">
      <pivotArea dataOnly="0" labelOnly="1" fieldPosition="0">
        <references count="1">
          <reference field="2" count="1">
            <x v="7"/>
          </reference>
        </references>
      </pivotArea>
    </format>
    <format dxfId="174">
      <pivotArea dataOnly="0" labelOnly="1" fieldPosition="0">
        <references count="1">
          <reference field="2" count="1">
            <x v="8"/>
          </reference>
        </references>
      </pivotArea>
    </format>
    <format dxfId="173">
      <pivotArea dataOnly="0" labelOnly="1" fieldPosition="0">
        <references count="1">
          <reference field="2" count="1">
            <x v="9"/>
          </reference>
        </references>
      </pivotArea>
    </format>
    <format dxfId="172">
      <pivotArea dataOnly="0" labelOnly="1" fieldPosition="0">
        <references count="1">
          <reference field="2" count="1">
            <x v="10"/>
          </reference>
        </references>
      </pivotArea>
    </format>
    <format dxfId="171">
      <pivotArea dataOnly="0" labelOnly="1" fieldPosition="0">
        <references count="1">
          <reference field="2" count="1">
            <x v="11"/>
          </reference>
        </references>
      </pivotArea>
    </format>
    <format dxfId="170">
      <pivotArea dataOnly="0" labelOnly="1" grandCol="1" outline="0" fieldPosition="0"/>
    </format>
    <format dxfId="169">
      <pivotArea dataOnly="0" labelOnly="1" grandRow="1" outline="0" fieldPosition="0"/>
    </format>
    <format dxfId="168">
      <pivotArea dataOnly="0" labelOnly="1" grandRow="1" outline="0" fieldPosition="0"/>
    </format>
    <format dxfId="167">
      <pivotArea field="2" grandRow="1" outline="0" collapsedLevelsAreSubtotals="1" axis="axisCol" fieldPosition="0">
        <references count="1">
          <reference field="2" count="1" selected="0">
            <x v="0"/>
          </reference>
        </references>
      </pivotArea>
    </format>
    <format dxfId="166">
      <pivotArea field="2" grandRow="1" outline="0" collapsedLevelsAreSubtotals="1" axis="axisCol" fieldPosition="0">
        <references count="1">
          <reference field="2" count="1" selected="0">
            <x v="1"/>
          </reference>
        </references>
      </pivotArea>
    </format>
    <format dxfId="165">
      <pivotArea field="2" grandRow="1" outline="0" collapsedLevelsAreSubtotals="1" axis="axisCol" fieldPosition="0">
        <references count="1">
          <reference field="2" count="1" selected="0">
            <x v="2"/>
          </reference>
        </references>
      </pivotArea>
    </format>
    <format dxfId="164">
      <pivotArea field="2" grandRow="1" outline="0" collapsedLevelsAreSubtotals="1" axis="axisCol" fieldPosition="0">
        <references count="1">
          <reference field="2" count="1" selected="0">
            <x v="3"/>
          </reference>
        </references>
      </pivotArea>
    </format>
    <format dxfId="163">
      <pivotArea field="2" grandRow="1" outline="0" collapsedLevelsAreSubtotals="1" axis="axisCol" fieldPosition="0">
        <references count="1">
          <reference field="2" count="1" selected="0">
            <x v="4"/>
          </reference>
        </references>
      </pivotArea>
    </format>
    <format dxfId="162">
      <pivotArea field="2" grandRow="1" outline="0" collapsedLevelsAreSubtotals="1" axis="axisCol" fieldPosition="0">
        <references count="1">
          <reference field="2" count="1" selected="0">
            <x v="5"/>
          </reference>
        </references>
      </pivotArea>
    </format>
    <format dxfId="161">
      <pivotArea field="2" grandRow="1" outline="0" collapsedLevelsAreSubtotals="1" axis="axisCol" fieldPosition="0">
        <references count="1">
          <reference field="2" count="1" selected="0">
            <x v="6"/>
          </reference>
        </references>
      </pivotArea>
    </format>
    <format dxfId="160">
      <pivotArea field="2" grandRow="1" outline="0" collapsedLevelsAreSubtotals="1" axis="axisCol" fieldPosition="0">
        <references count="1">
          <reference field="2" count="1" selected="0">
            <x v="7"/>
          </reference>
        </references>
      </pivotArea>
    </format>
    <format dxfId="159">
      <pivotArea field="2" grandRow="1" outline="0" collapsedLevelsAreSubtotals="1" axis="axisCol" fieldPosition="0">
        <references count="1">
          <reference field="2" count="1" selected="0">
            <x v="8"/>
          </reference>
        </references>
      </pivotArea>
    </format>
    <format dxfId="158">
      <pivotArea field="2" grandRow="1" outline="0" collapsedLevelsAreSubtotals="1" axis="axisCol" fieldPosition="0">
        <references count="1">
          <reference field="2" count="1" selected="0">
            <x v="9"/>
          </reference>
        </references>
      </pivotArea>
    </format>
    <format dxfId="157">
      <pivotArea field="2" grandRow="1" outline="0" collapsedLevelsAreSubtotals="1" axis="axisCol" fieldPosition="0">
        <references count="1">
          <reference field="2" count="1" selected="0">
            <x v="10"/>
          </reference>
        </references>
      </pivotArea>
    </format>
    <format dxfId="156">
      <pivotArea field="2" grandRow="1" outline="0" collapsedLevelsAreSubtotals="1" axis="axisCol" fieldPosition="0">
        <references count="1">
          <reference field="2" count="1" selected="0">
            <x v="11"/>
          </reference>
        </references>
      </pivotArea>
    </format>
    <format dxfId="155">
      <pivotArea grandRow="1" grandCol="1" outline="0" collapsedLevelsAreSubtotals="1" fieldPosition="0"/>
    </format>
    <format dxfId="154">
      <pivotArea field="2" grandRow="1" outline="0" collapsedLevelsAreSubtotals="1" axis="axisCol" fieldPosition="0">
        <references count="1">
          <reference field="2" count="1" selected="0">
            <x v="0"/>
          </reference>
        </references>
      </pivotArea>
    </format>
    <format dxfId="153">
      <pivotArea field="2" grandRow="1" outline="0" collapsedLevelsAreSubtotals="1" axis="axisCol" fieldPosition="0">
        <references count="1">
          <reference field="2" count="1" selected="0">
            <x v="1"/>
          </reference>
        </references>
      </pivotArea>
    </format>
    <format dxfId="152">
      <pivotArea field="2" grandRow="1" outline="0" collapsedLevelsAreSubtotals="1" axis="axisCol" fieldPosition="0">
        <references count="1">
          <reference field="2" count="1" selected="0">
            <x v="2"/>
          </reference>
        </references>
      </pivotArea>
    </format>
    <format dxfId="151">
      <pivotArea field="2" grandRow="1" outline="0" collapsedLevelsAreSubtotals="1" axis="axisCol" fieldPosition="0">
        <references count="1">
          <reference field="2" count="1" selected="0">
            <x v="3"/>
          </reference>
        </references>
      </pivotArea>
    </format>
    <format dxfId="150">
      <pivotArea field="2" grandRow="1" outline="0" collapsedLevelsAreSubtotals="1" axis="axisCol" fieldPosition="0">
        <references count="1">
          <reference field="2" count="1" selected="0">
            <x v="4"/>
          </reference>
        </references>
      </pivotArea>
    </format>
    <format dxfId="149">
      <pivotArea field="2" grandRow="1" outline="0" collapsedLevelsAreSubtotals="1" axis="axisCol" fieldPosition="0">
        <references count="1">
          <reference field="2" count="1" selected="0">
            <x v="5"/>
          </reference>
        </references>
      </pivotArea>
    </format>
    <format dxfId="148">
      <pivotArea field="2" grandRow="1" outline="0" collapsedLevelsAreSubtotals="1" axis="axisCol" fieldPosition="0">
        <references count="1">
          <reference field="2" count="1" selected="0">
            <x v="6"/>
          </reference>
        </references>
      </pivotArea>
    </format>
    <format dxfId="147">
      <pivotArea field="2" grandRow="1" outline="0" collapsedLevelsAreSubtotals="1" axis="axisCol" fieldPosition="0">
        <references count="1">
          <reference field="2" count="1" selected="0">
            <x v="7"/>
          </reference>
        </references>
      </pivotArea>
    </format>
    <format dxfId="146">
      <pivotArea field="2" grandRow="1" outline="0" collapsedLevelsAreSubtotals="1" axis="axisCol" fieldPosition="0">
        <references count="1">
          <reference field="2" count="1" selected="0">
            <x v="8"/>
          </reference>
        </references>
      </pivotArea>
    </format>
    <format dxfId="145">
      <pivotArea field="2" grandRow="1" outline="0" collapsedLevelsAreSubtotals="1" axis="axisCol" fieldPosition="0">
        <references count="1">
          <reference field="2" count="1" selected="0">
            <x v="9"/>
          </reference>
        </references>
      </pivotArea>
    </format>
    <format dxfId="144">
      <pivotArea field="2" grandRow="1" outline="0" collapsedLevelsAreSubtotals="1" axis="axisCol" fieldPosition="0">
        <references count="1">
          <reference field="2" count="1" selected="0">
            <x v="10"/>
          </reference>
        </references>
      </pivotArea>
    </format>
    <format dxfId="143">
      <pivotArea field="2" grandRow="1" outline="0" collapsedLevelsAreSubtotals="1" axis="axisCol" fieldPosition="0">
        <references count="1">
          <reference field="2" count="1" selected="0">
            <x v="11"/>
          </reference>
        </references>
      </pivotArea>
    </format>
    <format dxfId="142">
      <pivotArea grandRow="1" grandCol="1" outline="0" collapsedLevelsAreSubtotals="1" fieldPosition="0"/>
    </format>
  </formats>
  <conditionalFormats count="1">
    <conditionalFormat scope="data" priority="1">
      <pivotAreas count="1">
        <pivotArea outline="0" fieldPosition="0">
          <references count="1">
            <reference field="4294967294" count="1" selected="0">
              <x v="0"/>
            </reference>
          </references>
        </pivotArea>
      </pivotAreas>
    </conditionalFormat>
  </conditionalFormats>
  <chartFormats count="12">
    <chartFormat chart="14" format="24" series="1">
      <pivotArea type="data" outline="0" fieldPosition="0">
        <references count="2">
          <reference field="4294967294" count="1" selected="0">
            <x v="0"/>
          </reference>
          <reference field="2" count="1" selected="0">
            <x v="0"/>
          </reference>
        </references>
      </pivotArea>
    </chartFormat>
    <chartFormat chart="14" format="25" series="1">
      <pivotArea type="data" outline="0" fieldPosition="0">
        <references count="2">
          <reference field="4294967294" count="1" selected="0">
            <x v="0"/>
          </reference>
          <reference field="2" count="1" selected="0">
            <x v="1"/>
          </reference>
        </references>
      </pivotArea>
    </chartFormat>
    <chartFormat chart="14" format="26" series="1">
      <pivotArea type="data" outline="0" fieldPosition="0">
        <references count="2">
          <reference field="4294967294" count="1" selected="0">
            <x v="0"/>
          </reference>
          <reference field="2" count="1" selected="0">
            <x v="2"/>
          </reference>
        </references>
      </pivotArea>
    </chartFormat>
    <chartFormat chart="14" format="27" series="1">
      <pivotArea type="data" outline="0" fieldPosition="0">
        <references count="2">
          <reference field="4294967294" count="1" selected="0">
            <x v="0"/>
          </reference>
          <reference field="2" count="1" selected="0">
            <x v="3"/>
          </reference>
        </references>
      </pivotArea>
    </chartFormat>
    <chartFormat chart="14" format="28" series="1">
      <pivotArea type="data" outline="0" fieldPosition="0">
        <references count="2">
          <reference field="4294967294" count="1" selected="0">
            <x v="0"/>
          </reference>
          <reference field="2" count="1" selected="0">
            <x v="4"/>
          </reference>
        </references>
      </pivotArea>
    </chartFormat>
    <chartFormat chart="14" format="29" series="1">
      <pivotArea type="data" outline="0" fieldPosition="0">
        <references count="2">
          <reference field="4294967294" count="1" selected="0">
            <x v="0"/>
          </reference>
          <reference field="2" count="1" selected="0">
            <x v="5"/>
          </reference>
        </references>
      </pivotArea>
    </chartFormat>
    <chartFormat chart="14" format="30" series="1">
      <pivotArea type="data" outline="0" fieldPosition="0">
        <references count="2">
          <reference field="4294967294" count="1" selected="0">
            <x v="0"/>
          </reference>
          <reference field="2" count="1" selected="0">
            <x v="6"/>
          </reference>
        </references>
      </pivotArea>
    </chartFormat>
    <chartFormat chart="14" format="31" series="1">
      <pivotArea type="data" outline="0" fieldPosition="0">
        <references count="2">
          <reference field="4294967294" count="1" selected="0">
            <x v="0"/>
          </reference>
          <reference field="2" count="1" selected="0">
            <x v="7"/>
          </reference>
        </references>
      </pivotArea>
    </chartFormat>
    <chartFormat chart="14" format="32" series="1">
      <pivotArea type="data" outline="0" fieldPosition="0">
        <references count="2">
          <reference field="4294967294" count="1" selected="0">
            <x v="0"/>
          </reference>
          <reference field="2" count="1" selected="0">
            <x v="8"/>
          </reference>
        </references>
      </pivotArea>
    </chartFormat>
    <chartFormat chart="14" format="33" series="1">
      <pivotArea type="data" outline="0" fieldPosition="0">
        <references count="2">
          <reference field="4294967294" count="1" selected="0">
            <x v="0"/>
          </reference>
          <reference field="2" count="1" selected="0">
            <x v="9"/>
          </reference>
        </references>
      </pivotArea>
    </chartFormat>
    <chartFormat chart="14" format="34" series="1">
      <pivotArea type="data" outline="0" fieldPosition="0">
        <references count="2">
          <reference field="4294967294" count="1" selected="0">
            <x v="0"/>
          </reference>
          <reference field="2" count="1" selected="0">
            <x v="10"/>
          </reference>
        </references>
      </pivotArea>
    </chartFormat>
    <chartFormat chart="14" format="35" series="1">
      <pivotArea type="data" outline="0" fieldPosition="0">
        <references count="2">
          <reference field="4294967294" count="1" selected="0">
            <x v="0"/>
          </reference>
          <reference field="2" count="1" selected="0">
            <x v="11"/>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CB8B3C-22A3-4DF5-A2F0-577B4912D5EF}" name="Pivot_IncomebyCategory"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3:G11" firstHeaderRow="1" firstDataRow="2" firstDataCol="1"/>
  <pivotFields count="7">
    <pivotField numFmtId="165" showAll="0">
      <items count="80">
        <item x="31"/>
        <item x="27"/>
        <item x="73"/>
        <item x="43"/>
        <item x="20"/>
        <item x="68"/>
        <item x="2"/>
        <item x="38"/>
        <item x="53"/>
        <item x="65"/>
        <item x="9"/>
        <item x="21"/>
        <item x="40"/>
        <item x="44"/>
        <item x="63"/>
        <item x="6"/>
        <item x="15"/>
        <item x="35"/>
        <item x="70"/>
        <item x="33"/>
        <item x="10"/>
        <item x="69"/>
        <item x="59"/>
        <item x="49"/>
        <item x="54"/>
        <item x="50"/>
        <item x="24"/>
        <item x="16"/>
        <item x="5"/>
        <item x="74"/>
        <item x="28"/>
        <item x="34"/>
        <item x="48"/>
        <item x="29"/>
        <item x="30"/>
        <item x="42"/>
        <item x="22"/>
        <item x="57"/>
        <item x="14"/>
        <item x="32"/>
        <item x="47"/>
        <item x="13"/>
        <item x="12"/>
        <item x="11"/>
        <item x="51"/>
        <item x="67"/>
        <item x="76"/>
        <item x="61"/>
        <item x="46"/>
        <item x="17"/>
        <item x="71"/>
        <item x="55"/>
        <item x="0"/>
        <item x="52"/>
        <item x="41"/>
        <item x="8"/>
        <item x="72"/>
        <item x="1"/>
        <item x="78"/>
        <item x="75"/>
        <item x="39"/>
        <item x="25"/>
        <item x="19"/>
        <item x="77"/>
        <item x="23"/>
        <item x="56"/>
        <item x="4"/>
        <item x="60"/>
        <item x="66"/>
        <item x="64"/>
        <item x="37"/>
        <item x="3"/>
        <item x="7"/>
        <item x="62"/>
        <item x="26"/>
        <item x="36"/>
        <item x="18"/>
        <item x="45"/>
        <item x="58"/>
        <item t="default"/>
      </items>
    </pivotField>
    <pivotField showAll="0"/>
    <pivotField axis="axisCol" showAll="0">
      <items count="6">
        <item x="3"/>
        <item x="0"/>
        <item x="2"/>
        <item x="1"/>
        <item x="4"/>
        <item t="default"/>
      </items>
    </pivotField>
    <pivotField showAll="0"/>
    <pivotField dataField="1" numFmtId="166" showAll="0"/>
    <pivotField axis="axisRow" showAll="0">
      <items count="15">
        <item x="0"/>
        <item x="1"/>
        <item x="2"/>
        <item x="3"/>
        <item x="4"/>
        <item x="5"/>
        <item x="6"/>
        <item x="7"/>
        <item x="8"/>
        <item x="9"/>
        <item x="10"/>
        <item x="11"/>
        <item x="12"/>
        <item x="13"/>
        <item t="default"/>
      </items>
    </pivotField>
    <pivotField showAll="0">
      <items count="4">
        <item x="0"/>
        <item x="1"/>
        <item x="2"/>
        <item t="default"/>
      </items>
    </pivotField>
  </pivotFields>
  <rowFields count="1">
    <field x="5"/>
  </rowFields>
  <rowItems count="7">
    <i>
      <x v="1"/>
    </i>
    <i>
      <x v="2"/>
    </i>
    <i>
      <x v="3"/>
    </i>
    <i>
      <x v="4"/>
    </i>
    <i>
      <x v="5"/>
    </i>
    <i>
      <x v="6"/>
    </i>
    <i t="grand">
      <x/>
    </i>
  </rowItems>
  <colFields count="1">
    <field x="2"/>
  </colFields>
  <colItems count="6">
    <i>
      <x/>
    </i>
    <i>
      <x v="1"/>
    </i>
    <i>
      <x v="2"/>
    </i>
    <i>
      <x v="3"/>
    </i>
    <i>
      <x v="4"/>
    </i>
    <i t="grand">
      <x/>
    </i>
  </colItems>
  <dataFields count="1">
    <dataField name="Sum of Amount" fld="4" baseField="0" baseItem="0" numFmtId="166"/>
  </dataFields>
  <formats count="59">
    <format dxfId="139">
      <pivotArea field="6" type="button" dataOnly="0" labelOnly="1" outline="0"/>
    </format>
    <format dxfId="138">
      <pivotArea dataOnly="0" labelOnly="1" fieldPosition="0">
        <references count="1">
          <reference field="2" count="1">
            <x v="0"/>
          </reference>
        </references>
      </pivotArea>
    </format>
    <format dxfId="137">
      <pivotArea dataOnly="0" labelOnly="1" fieldPosition="0">
        <references count="1">
          <reference field="2" count="1">
            <x v="1"/>
          </reference>
        </references>
      </pivotArea>
    </format>
    <format dxfId="136">
      <pivotArea dataOnly="0" labelOnly="1" fieldPosition="0">
        <references count="1">
          <reference field="2" count="1">
            <x v="2"/>
          </reference>
        </references>
      </pivotArea>
    </format>
    <format dxfId="135">
      <pivotArea dataOnly="0" labelOnly="1" fieldPosition="0">
        <references count="1">
          <reference field="2" count="1">
            <x v="3"/>
          </reference>
        </references>
      </pivotArea>
    </format>
    <format dxfId="134">
      <pivotArea dataOnly="0" labelOnly="1" fieldPosition="0">
        <references count="1">
          <reference field="2" count="1">
            <x v="4"/>
          </reference>
        </references>
      </pivotArea>
    </format>
    <format dxfId="133">
      <pivotArea dataOnly="0" labelOnly="1" grandCol="1" outline="0" fieldPosition="0"/>
    </format>
    <format dxfId="132">
      <pivotArea type="origin" dataOnly="0" labelOnly="1" outline="0" fieldPosition="0"/>
    </format>
    <format dxfId="131">
      <pivotArea field="2" type="button" dataOnly="0" labelOnly="1" outline="0" axis="axisCol" fieldPosition="0"/>
    </format>
    <format dxfId="130">
      <pivotArea outline="0" collapsedLevelsAreSubtotals="1" fieldPosition="0"/>
    </format>
    <format dxfId="129">
      <pivotArea dataOnly="0" labelOnly="1" grandRow="1" outline="0" fieldPosition="0"/>
    </format>
    <format dxfId="128">
      <pivotArea field="6" type="button" dataOnly="0" labelOnly="1" outline="0"/>
    </format>
    <format dxfId="127">
      <pivotArea type="origin" dataOnly="0" labelOnly="1" outline="0" fieldPosition="0"/>
    </format>
    <format dxfId="126">
      <pivotArea type="origin" dataOnly="0" labelOnly="1" outline="0" fieldPosition="0"/>
    </format>
    <format dxfId="125">
      <pivotArea type="origin" dataOnly="0" labelOnly="1" outline="0" fieldPosition="0"/>
    </format>
    <format dxfId="124">
      <pivotArea type="origin" dataOnly="0" labelOnly="1" outline="0" fieldPosition="0"/>
    </format>
    <format dxfId="123">
      <pivotArea field="2" type="button" dataOnly="0" labelOnly="1" outline="0" axis="axisCol" fieldPosition="0"/>
    </format>
    <format dxfId="122">
      <pivotArea type="topRight" dataOnly="0" labelOnly="1" outline="0" offset="A1" fieldPosition="0"/>
    </format>
    <format dxfId="121">
      <pivotArea type="topRight" dataOnly="0" labelOnly="1" outline="0" offset="B1" fieldPosition="0"/>
    </format>
    <format dxfId="120">
      <pivotArea type="topRight" dataOnly="0" labelOnly="1" outline="0" offset="C1" fieldPosition="0"/>
    </format>
    <format dxfId="119">
      <pivotArea type="topRight" dataOnly="0" labelOnly="1" outline="0" offset="D1" fieldPosition="0"/>
    </format>
    <format dxfId="118">
      <pivotArea type="topRight" dataOnly="0" labelOnly="1" outline="0" offset="E1" fieldPosition="0"/>
    </format>
    <format dxfId="117">
      <pivotArea dataOnly="0" labelOnly="1" grandRow="1" outline="0" fieldPosition="0"/>
    </format>
    <format dxfId="116">
      <pivotArea field="2" grandRow="1" outline="0" collapsedLevelsAreSubtotals="1" axis="axisCol" fieldPosition="0">
        <references count="1">
          <reference field="2" count="1" selected="0">
            <x v="0"/>
          </reference>
        </references>
      </pivotArea>
    </format>
    <format dxfId="115">
      <pivotArea field="2" grandRow="1" outline="0" collapsedLevelsAreSubtotals="1" axis="axisCol" fieldPosition="0">
        <references count="1">
          <reference field="2" count="1" selected="0">
            <x v="1"/>
          </reference>
        </references>
      </pivotArea>
    </format>
    <format dxfId="114">
      <pivotArea field="2" grandRow="1" outline="0" collapsedLevelsAreSubtotals="1" axis="axisCol" fieldPosition="0">
        <references count="1">
          <reference field="2" count="1" selected="0">
            <x v="2"/>
          </reference>
        </references>
      </pivotArea>
    </format>
    <format dxfId="113">
      <pivotArea field="2" grandRow="1" outline="0" collapsedLevelsAreSubtotals="1" axis="axisCol" fieldPosition="0">
        <references count="1">
          <reference field="2" count="1" selected="0">
            <x v="3"/>
          </reference>
        </references>
      </pivotArea>
    </format>
    <format dxfId="112">
      <pivotArea field="2" grandRow="1" outline="0" collapsedLevelsAreSubtotals="1" axis="axisCol" fieldPosition="0">
        <references count="1">
          <reference field="2" count="1" selected="0">
            <x v="4"/>
          </reference>
        </references>
      </pivotArea>
    </format>
    <format dxfId="111">
      <pivotArea grandRow="1" grandCol="1" outline="0" collapsedLevelsAreSubtotals="1" fieldPosition="0"/>
    </format>
    <format dxfId="110">
      <pivotArea field="6" type="button" dataOnly="0" labelOnly="1" outline="0"/>
    </format>
    <format dxfId="109">
      <pivotArea field="6" type="button" dataOnly="0" labelOnly="1" outline="0"/>
    </format>
    <format dxfId="108">
      <pivotArea field="6" type="button" dataOnly="0" labelOnly="1" outline="0"/>
    </format>
    <format dxfId="107">
      <pivotArea dataOnly="0" labelOnly="1" fieldPosition="0">
        <references count="1">
          <reference field="2" count="1">
            <x v="0"/>
          </reference>
        </references>
      </pivotArea>
    </format>
    <format dxfId="106">
      <pivotArea dataOnly="0" labelOnly="1" fieldPosition="0">
        <references count="1">
          <reference field="2" count="1">
            <x v="1"/>
          </reference>
        </references>
      </pivotArea>
    </format>
    <format dxfId="105">
      <pivotArea dataOnly="0" labelOnly="1" fieldPosition="0">
        <references count="1">
          <reference field="2" count="1">
            <x v="2"/>
          </reference>
        </references>
      </pivotArea>
    </format>
    <format dxfId="104">
      <pivotArea dataOnly="0" labelOnly="1" fieldPosition="0">
        <references count="1">
          <reference field="2" count="1">
            <x v="3"/>
          </reference>
        </references>
      </pivotArea>
    </format>
    <format dxfId="103">
      <pivotArea dataOnly="0" labelOnly="1" fieldPosition="0">
        <references count="1">
          <reference field="2" count="1">
            <x v="4"/>
          </reference>
        </references>
      </pivotArea>
    </format>
    <format dxfId="102">
      <pivotArea dataOnly="0" labelOnly="1" grandCol="1" outline="0" fieldPosition="0"/>
    </format>
    <format dxfId="101">
      <pivotArea field="6" type="button" dataOnly="0" labelOnly="1" outline="0"/>
    </format>
    <format dxfId="100">
      <pivotArea field="6" type="button" dataOnly="0" labelOnly="1" outline="0"/>
    </format>
    <format dxfId="99">
      <pivotArea dataOnly="0" labelOnly="1" fieldPosition="0">
        <references count="1">
          <reference field="2" count="1">
            <x v="0"/>
          </reference>
        </references>
      </pivotArea>
    </format>
    <format dxfId="98">
      <pivotArea dataOnly="0" labelOnly="1" fieldPosition="0">
        <references count="1">
          <reference field="2" count="1">
            <x v="1"/>
          </reference>
        </references>
      </pivotArea>
    </format>
    <format dxfId="97">
      <pivotArea dataOnly="0" labelOnly="1" fieldPosition="0">
        <references count="1">
          <reference field="2" count="1">
            <x v="2"/>
          </reference>
        </references>
      </pivotArea>
    </format>
    <format dxfId="96">
      <pivotArea dataOnly="0" labelOnly="1" fieldPosition="0">
        <references count="1">
          <reference field="2" count="1">
            <x v="3"/>
          </reference>
        </references>
      </pivotArea>
    </format>
    <format dxfId="95">
      <pivotArea dataOnly="0" labelOnly="1" fieldPosition="0">
        <references count="1">
          <reference field="2" count="1">
            <x v="4"/>
          </reference>
        </references>
      </pivotArea>
    </format>
    <format dxfId="94">
      <pivotArea field="2" type="button" dataOnly="0" labelOnly="1" outline="0" axis="axisCol" fieldPosition="0"/>
    </format>
    <format dxfId="93">
      <pivotArea type="origin" dataOnly="0" labelOnly="1" outline="0" fieldPosition="0"/>
    </format>
    <format dxfId="92">
      <pivotArea type="topRight" dataOnly="0" labelOnly="1" outline="0" offset="A1" fieldPosition="0"/>
    </format>
    <format dxfId="91">
      <pivotArea type="topRight" dataOnly="0" labelOnly="1" outline="0" offset="B1" fieldPosition="0"/>
    </format>
    <format dxfId="90">
      <pivotArea type="topRight" dataOnly="0" labelOnly="1" outline="0" offset="C1" fieldPosition="0"/>
    </format>
    <format dxfId="89">
      <pivotArea type="topRight" dataOnly="0" labelOnly="1" outline="0" offset="D1" fieldPosition="0"/>
    </format>
    <format dxfId="88">
      <pivotArea type="topRight" dataOnly="0" labelOnly="1" outline="0" offset="E1" fieldPosition="0"/>
    </format>
    <format dxfId="87">
      <pivotArea field="2" grandRow="1" outline="0" collapsedLevelsAreSubtotals="1" axis="axisCol" fieldPosition="0">
        <references count="1">
          <reference field="2" count="1" selected="0">
            <x v="0"/>
          </reference>
        </references>
      </pivotArea>
    </format>
    <format dxfId="86">
      <pivotArea field="2" grandRow="1" outline="0" collapsedLevelsAreSubtotals="1" axis="axisCol" fieldPosition="0">
        <references count="1">
          <reference field="2" count="1" selected="0">
            <x v="1"/>
          </reference>
        </references>
      </pivotArea>
    </format>
    <format dxfId="85">
      <pivotArea field="2" grandRow="1" outline="0" collapsedLevelsAreSubtotals="1" axis="axisCol" fieldPosition="0">
        <references count="1">
          <reference field="2" count="1" selected="0">
            <x v="2"/>
          </reference>
        </references>
      </pivotArea>
    </format>
    <format dxfId="84">
      <pivotArea field="2" grandRow="1" outline="0" collapsedLevelsAreSubtotals="1" axis="axisCol" fieldPosition="0">
        <references count="1">
          <reference field="2" count="1" selected="0">
            <x v="3"/>
          </reference>
        </references>
      </pivotArea>
    </format>
    <format dxfId="83">
      <pivotArea field="2" grandRow="1" outline="0" collapsedLevelsAreSubtotals="1" axis="axisCol" fieldPosition="0">
        <references count="1">
          <reference field="2" count="1" selected="0">
            <x v="4"/>
          </reference>
        </references>
      </pivotArea>
    </format>
    <format dxfId="82">
      <pivotArea grandRow="1" grandCol="1" outline="0" collapsedLevelsAreSubtotals="1" fieldPosition="0"/>
    </format>
    <format dxfId="81">
      <pivotArea dataOnly="0" labelOnly="1" grandCol="1" outline="0" fieldPosition="0"/>
    </format>
  </formats>
  <conditionalFormats count="1">
    <conditionalFormat scope="data" priority="2">
      <pivotAreas count="1">
        <pivotArea outline="0" fieldPosition="0">
          <references count="1">
            <reference field="4294967294" count="1" selected="0">
              <x v="0"/>
            </reference>
          </references>
        </pivotArea>
      </pivotAreas>
    </conditionalFormat>
  </conditionalFormats>
  <chartFormats count="10">
    <chartFormat chart="17" format="5" series="1">
      <pivotArea type="data" outline="0" fieldPosition="0">
        <references count="2">
          <reference field="4294967294" count="1" selected="0">
            <x v="0"/>
          </reference>
          <reference field="2" count="1" selected="0">
            <x v="0"/>
          </reference>
        </references>
      </pivotArea>
    </chartFormat>
    <chartFormat chart="17" format="6" series="1">
      <pivotArea type="data" outline="0" fieldPosition="0">
        <references count="2">
          <reference field="4294967294" count="1" selected="0">
            <x v="0"/>
          </reference>
          <reference field="2" count="1" selected="0">
            <x v="1"/>
          </reference>
        </references>
      </pivotArea>
    </chartFormat>
    <chartFormat chart="17" format="7" series="1">
      <pivotArea type="data" outline="0" fieldPosition="0">
        <references count="2">
          <reference field="4294967294" count="1" selected="0">
            <x v="0"/>
          </reference>
          <reference field="2" count="1" selected="0">
            <x v="2"/>
          </reference>
        </references>
      </pivotArea>
    </chartFormat>
    <chartFormat chart="17" format="8" series="1">
      <pivotArea type="data" outline="0" fieldPosition="0">
        <references count="2">
          <reference field="4294967294" count="1" selected="0">
            <x v="0"/>
          </reference>
          <reference field="2" count="1" selected="0">
            <x v="3"/>
          </reference>
        </references>
      </pivotArea>
    </chartFormat>
    <chartFormat chart="17" format="9" series="1">
      <pivotArea type="data" outline="0" fieldPosition="0">
        <references count="2">
          <reference field="4294967294" count="1" selected="0">
            <x v="0"/>
          </reference>
          <reference field="2" count="1" selected="0">
            <x v="4"/>
          </reference>
        </references>
      </pivotArea>
    </chartFormat>
    <chartFormat chart="18" format="10" series="1">
      <pivotArea type="data" outline="0" fieldPosition="0">
        <references count="2">
          <reference field="4294967294" count="1" selected="0">
            <x v="0"/>
          </reference>
          <reference field="2" count="1" selected="0">
            <x v="0"/>
          </reference>
        </references>
      </pivotArea>
    </chartFormat>
    <chartFormat chart="18" format="11" series="1">
      <pivotArea type="data" outline="0" fieldPosition="0">
        <references count="2">
          <reference field="4294967294" count="1" selected="0">
            <x v="0"/>
          </reference>
          <reference field="2" count="1" selected="0">
            <x v="1"/>
          </reference>
        </references>
      </pivotArea>
    </chartFormat>
    <chartFormat chart="18" format="12" series="1">
      <pivotArea type="data" outline="0" fieldPosition="0">
        <references count="2">
          <reference field="4294967294" count="1" selected="0">
            <x v="0"/>
          </reference>
          <reference field="2" count="1" selected="0">
            <x v="2"/>
          </reference>
        </references>
      </pivotArea>
    </chartFormat>
    <chartFormat chart="18" format="13" series="1">
      <pivotArea type="data" outline="0" fieldPosition="0">
        <references count="2">
          <reference field="4294967294" count="1" selected="0">
            <x v="0"/>
          </reference>
          <reference field="2" count="1" selected="0">
            <x v="3"/>
          </reference>
        </references>
      </pivotArea>
    </chartFormat>
    <chartFormat chart="18" format="14" series="1">
      <pivotArea type="data" outline="0" fieldPosition="0">
        <references count="2">
          <reference field="4294967294" count="1" selected="0">
            <x v="0"/>
          </reference>
          <reference field="2" count="1" selected="0">
            <x v="4"/>
          </reference>
        </references>
      </pivotArea>
    </chartFormat>
  </chartFormats>
  <pivotTableStyleInfo name="PivotStyleMedium9"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10B060-C28E-4B5E-96F0-F9A3B9A1B06C}" name="ptMonthlySummary" cacheId="0" applyNumberFormats="0" applyBorderFormats="0" applyFontFormats="0" applyPatternFormats="0" applyAlignmentFormats="0" applyWidthHeightFormats="1" dataCaption="Values" updatedVersion="8" minRefreshableVersion="3" useAutoFormatting="1" rowGrandTotals="0" colGrandTotals="0" itemPrintTitles="1" mergeItem="1" createdVersion="8" indent="0" compact="0" compactData="0" multipleFieldFilters="0" chartFormat="14">
  <location ref="A3:D11" firstHeaderRow="1" firstDataRow="2" firstDataCol="2"/>
  <pivotFields count="7">
    <pivotField compact="0" outline="0" showAll="0">
      <items count="156">
        <item x="92"/>
        <item x="71"/>
        <item x="90"/>
        <item x="12"/>
        <item x="144"/>
        <item x="107"/>
        <item x="58"/>
        <item x="61"/>
        <item x="65"/>
        <item x="137"/>
        <item x="3"/>
        <item x="29"/>
        <item x="101"/>
        <item x="86"/>
        <item x="84"/>
        <item x="21"/>
        <item x="23"/>
        <item x="72"/>
        <item x="136"/>
        <item x="59"/>
        <item x="36"/>
        <item x="147"/>
        <item x="25"/>
        <item x="120"/>
        <item x="8"/>
        <item x="142"/>
        <item x="89"/>
        <item x="70"/>
        <item x="14"/>
        <item x="55"/>
        <item x="43"/>
        <item x="60"/>
        <item x="151"/>
        <item x="78"/>
        <item x="67"/>
        <item x="40"/>
        <item x="130"/>
        <item x="32"/>
        <item x="28"/>
        <item x="139"/>
        <item x="81"/>
        <item x="134"/>
        <item x="98"/>
        <item x="42"/>
        <item x="30"/>
        <item x="31"/>
        <item x="37"/>
        <item x="54"/>
        <item x="138"/>
        <item x="39"/>
        <item x="108"/>
        <item x="87"/>
        <item x="41"/>
        <item x="6"/>
        <item x="76"/>
        <item x="56"/>
        <item x="16"/>
        <item x="13"/>
        <item x="152"/>
        <item x="15"/>
        <item x="9"/>
        <item x="66"/>
        <item x="34"/>
        <item x="99"/>
        <item x="118"/>
        <item x="95"/>
        <item x="68"/>
        <item x="38"/>
        <item x="126"/>
        <item x="33"/>
        <item x="97"/>
        <item x="73"/>
        <item x="80"/>
        <item x="111"/>
        <item x="52"/>
        <item x="93"/>
        <item x="48"/>
        <item x="104"/>
        <item x="50"/>
        <item x="117"/>
        <item x="49"/>
        <item x="150"/>
        <item x="57"/>
        <item x="46"/>
        <item x="17"/>
        <item x="146"/>
        <item x="20"/>
        <item x="141"/>
        <item x="140"/>
        <item x="94"/>
        <item x="77"/>
        <item x="100"/>
        <item x="148"/>
        <item x="143"/>
        <item x="131"/>
        <item x="149"/>
        <item x="115"/>
        <item x="62"/>
        <item x="26"/>
        <item x="127"/>
        <item x="0"/>
        <item x="105"/>
        <item x="129"/>
        <item x="103"/>
        <item x="11"/>
        <item x="119"/>
        <item x="106"/>
        <item x="19"/>
        <item x="91"/>
        <item x="2"/>
        <item x="110"/>
        <item x="45"/>
        <item x="153"/>
        <item x="75"/>
        <item x="133"/>
        <item x="24"/>
        <item x="102"/>
        <item x="116"/>
        <item x="85"/>
        <item x="121"/>
        <item x="44"/>
        <item x="82"/>
        <item x="145"/>
        <item x="69"/>
        <item x="35"/>
        <item x="112"/>
        <item x="114"/>
        <item x="74"/>
        <item x="113"/>
        <item x="79"/>
        <item x="27"/>
        <item x="128"/>
        <item x="10"/>
        <item x="1"/>
        <item x="135"/>
        <item x="124"/>
        <item x="22"/>
        <item x="47"/>
        <item x="5"/>
        <item x="7"/>
        <item x="83"/>
        <item x="18"/>
        <item x="122"/>
        <item x="4"/>
        <item x="88"/>
        <item x="96"/>
        <item x="125"/>
        <item x="53"/>
        <item x="132"/>
        <item x="51"/>
        <item x="64"/>
        <item x="109"/>
        <item x="123"/>
        <item x="63"/>
        <item x="154"/>
        <item t="default"/>
      </items>
    </pivotField>
    <pivotField axis="axisCol" compact="0" outline="0" showAll="0">
      <items count="4">
        <item x="1"/>
        <item x="0"/>
        <item x="2"/>
        <item t="default"/>
      </items>
    </pivotField>
    <pivotField compact="0" outline="0" showAll="0"/>
    <pivotField compact="0" outline="0" showAll="0"/>
    <pivotField dataField="1" compact="0" outline="0" showAll="0"/>
    <pivotField axis="axisRow" compact="0" outline="0" showAll="0">
      <items count="15">
        <item x="0"/>
        <item x="1"/>
        <item x="2"/>
        <item x="3"/>
        <item x="4"/>
        <item x="5"/>
        <item x="6"/>
        <item x="7"/>
        <item x="8"/>
        <item x="9"/>
        <item x="10"/>
        <item x="11"/>
        <item x="12"/>
        <item x="13"/>
        <item t="default"/>
      </items>
    </pivotField>
    <pivotField axis="axisRow" compact="0" outline="0" showAll="0">
      <items count="4">
        <item h="1" sd="0" x="0"/>
        <item x="1"/>
        <item h="1" x="2"/>
        <item t="default"/>
      </items>
    </pivotField>
  </pivotFields>
  <rowFields count="2">
    <field x="6"/>
    <field x="5"/>
  </rowFields>
  <rowItems count="7">
    <i>
      <x v="1"/>
      <x v="1"/>
    </i>
    <i r="1">
      <x v="2"/>
    </i>
    <i r="1">
      <x v="3"/>
    </i>
    <i r="1">
      <x v="4"/>
    </i>
    <i r="1">
      <x v="5"/>
    </i>
    <i r="1">
      <x v="6"/>
    </i>
    <i t="default">
      <x v="1"/>
    </i>
  </rowItems>
  <colFields count="1">
    <field x="1"/>
  </colFields>
  <colItems count="2">
    <i>
      <x/>
    </i>
    <i>
      <x v="1"/>
    </i>
  </colItems>
  <dataFields count="1">
    <dataField name="Sum of Amount" fld="4" baseField="0" baseItem="0" numFmtId="166"/>
  </dataFields>
  <formats count="51">
    <format dxfId="77">
      <pivotArea outline="0" fieldPosition="0">
        <references count="1">
          <reference field="6" count="1" selected="0" defaultSubtotal="1">
            <x v="1"/>
          </reference>
        </references>
      </pivotArea>
    </format>
    <format dxfId="76">
      <pivotArea grandRow="1" outline="0" collapsedLevelsAreSubtotals="1" fieldPosition="0"/>
    </format>
    <format dxfId="75">
      <pivotArea dataOnly="0" labelOnly="1" outline="0" fieldPosition="0">
        <references count="1">
          <reference field="6" count="0"/>
        </references>
      </pivotArea>
    </format>
    <format dxfId="74">
      <pivotArea dataOnly="0" labelOnly="1" outline="0" fieldPosition="0">
        <references count="1">
          <reference field="1" count="1">
            <x v="0"/>
          </reference>
        </references>
      </pivotArea>
    </format>
    <format dxfId="73">
      <pivotArea type="origin" dataOnly="0" labelOnly="1" outline="0" fieldPosition="0"/>
    </format>
    <format dxfId="72">
      <pivotArea field="5" type="button" dataOnly="0" labelOnly="1" outline="0" axis="axisRow" fieldPosition="1"/>
    </format>
    <format dxfId="71">
      <pivotArea field="6" type="button" dataOnly="0" labelOnly="1" outline="0" axis="axisRow" fieldPosition="0"/>
    </format>
    <format dxfId="70">
      <pivotArea type="origin" dataOnly="0" labelOnly="1" outline="0" offset="A1" fieldPosition="0"/>
    </format>
    <format dxfId="69">
      <pivotArea field="6" type="button" dataOnly="0" labelOnly="1" outline="0" axis="axisRow" fieldPosition="0"/>
    </format>
    <format dxfId="68">
      <pivotArea field="5" type="button" dataOnly="0" labelOnly="1" outline="0" axis="axisRow" fieldPosition="1"/>
    </format>
    <format dxfId="67">
      <pivotArea dataOnly="0" labelOnly="1" outline="0" fieldPosition="0">
        <references count="1">
          <reference field="1" count="1">
            <x v="0"/>
          </reference>
        </references>
      </pivotArea>
    </format>
    <format dxfId="66">
      <pivotArea field="1" type="button" dataOnly="0" labelOnly="1" outline="0" axis="axisCol" fieldPosition="0"/>
    </format>
    <format dxfId="65">
      <pivotArea dataOnly="0" labelOnly="1" outline="0" fieldPosition="0">
        <references count="1">
          <reference field="1" count="1">
            <x v="1"/>
          </reference>
        </references>
      </pivotArea>
    </format>
    <format dxfId="64">
      <pivotArea type="origin" dataOnly="0" labelOnly="1" outline="0" offset="B1" fieldPosition="0"/>
    </format>
    <format dxfId="63">
      <pivotArea type="topRight" dataOnly="0" labelOnly="1" outline="0" fieldPosition="0"/>
    </format>
    <format dxfId="62">
      <pivotArea dataOnly="0" labelOnly="1" outline="0" fieldPosition="0">
        <references count="1">
          <reference field="6" count="0" defaultSubtotal="1"/>
        </references>
      </pivotArea>
    </format>
    <format dxfId="61">
      <pivotArea outline="0" fieldPosition="0">
        <references count="2">
          <reference field="1" count="1" selected="0">
            <x v="0"/>
          </reference>
          <reference field="6" count="0" selected="0" defaultSubtotal="1"/>
        </references>
      </pivotArea>
    </format>
    <format dxfId="60">
      <pivotArea outline="0" fieldPosition="0">
        <references count="2">
          <reference field="1" count="1" selected="0">
            <x v="1"/>
          </reference>
          <reference field="6" count="0" selected="0" defaultSubtotal="1"/>
        </references>
      </pivotArea>
    </format>
    <format dxfId="59">
      <pivotArea type="origin" dataOnly="0" labelOnly="1" outline="0" offset="A1" fieldPosition="0"/>
    </format>
    <format dxfId="58">
      <pivotArea type="origin" dataOnly="0" labelOnly="1" outline="0" offset="A1" fieldPosition="0"/>
    </format>
    <format dxfId="57">
      <pivotArea type="origin" dataOnly="0" labelOnly="1" outline="0" offset="A1" fieldPosition="0"/>
    </format>
    <format dxfId="56">
      <pivotArea type="origin" dataOnly="0" labelOnly="1" outline="0" offset="A1" fieldPosition="0"/>
    </format>
    <format dxfId="55">
      <pivotArea type="origin" dataOnly="0" labelOnly="1" outline="0" offset="A1" fieldPosition="0"/>
    </format>
    <format dxfId="54">
      <pivotArea field="6" type="button" dataOnly="0" labelOnly="1" outline="0" axis="axisRow" fieldPosition="0"/>
    </format>
    <format dxfId="53">
      <pivotArea field="6" type="button" dataOnly="0" labelOnly="1" outline="0" axis="axisRow" fieldPosition="0"/>
    </format>
    <format dxfId="52">
      <pivotArea field="6" type="button" dataOnly="0" labelOnly="1" outline="0" axis="axisRow" fieldPosition="0"/>
    </format>
    <format dxfId="51">
      <pivotArea field="5" type="button" dataOnly="0" labelOnly="1" outline="0" axis="axisRow" fieldPosition="1"/>
    </format>
    <format dxfId="50">
      <pivotArea dataOnly="0" labelOnly="1" outline="0" fieldPosition="0">
        <references count="1">
          <reference field="1" count="1">
            <x v="0"/>
          </reference>
        </references>
      </pivotArea>
    </format>
    <format dxfId="49">
      <pivotArea dataOnly="0" labelOnly="1" outline="0" fieldPosition="0">
        <references count="1">
          <reference field="1" count="1">
            <x v="1"/>
          </reference>
        </references>
      </pivotArea>
    </format>
    <format dxfId="48">
      <pivotArea type="origin" dataOnly="0" labelOnly="1" outline="0" offset="A1" fieldPosition="0"/>
    </format>
    <format dxfId="47">
      <pivotArea type="origin" dataOnly="0" labelOnly="1" outline="0" fieldPosition="0"/>
    </format>
    <format dxfId="46">
      <pivotArea type="origin" dataOnly="0" labelOnly="1" outline="0" offset="A1" fieldPosition="0"/>
    </format>
    <format dxfId="45">
      <pivotArea field="1" type="button" dataOnly="0" labelOnly="1" outline="0" axis="axisCol" fieldPosition="0"/>
    </format>
    <format dxfId="44">
      <pivotArea type="topRight" dataOnly="0" labelOnly="1" outline="0" fieldPosition="0"/>
    </format>
    <format dxfId="43">
      <pivotArea dataOnly="0" labelOnly="1" outline="0" offset="A256" fieldPosition="0">
        <references count="1">
          <reference field="6" count="0" defaultSubtotal="1"/>
        </references>
      </pivotArea>
    </format>
    <format dxfId="42">
      <pivotArea dataOnly="0" labelOnly="1" outline="0" fieldPosition="0">
        <references count="1">
          <reference field="6" count="0" defaultSubtotal="1"/>
        </references>
      </pivotArea>
    </format>
    <format dxfId="41">
      <pivotArea dataOnly="0" labelOnly="1" outline="0" offset="A256" fieldPosition="0">
        <references count="1">
          <reference field="6" count="0" defaultSubtotal="1"/>
        </references>
      </pivotArea>
    </format>
    <format dxfId="40">
      <pivotArea dataOnly="0" labelOnly="1" outline="0" offset="IV256" fieldPosition="0">
        <references count="1">
          <reference field="6" count="0" defaultSubtotal="1"/>
        </references>
      </pivotArea>
    </format>
    <format dxfId="39">
      <pivotArea outline="0" fieldPosition="0">
        <references count="2">
          <reference field="1" count="1" selected="0">
            <x v="0"/>
          </reference>
          <reference field="6" count="0" selected="0" defaultSubtotal="1"/>
        </references>
      </pivotArea>
    </format>
    <format dxfId="38">
      <pivotArea outline="0" fieldPosition="0">
        <references count="2">
          <reference field="1" count="1" selected="0">
            <x v="1"/>
          </reference>
          <reference field="6" count="0" selected="0" defaultSubtotal="1"/>
        </references>
      </pivotArea>
    </format>
    <format dxfId="37">
      <pivotArea outline="0" fieldPosition="0">
        <references count="2">
          <reference field="1" count="1" selected="0">
            <x v="0"/>
          </reference>
          <reference field="6" count="0" selected="0" defaultSubtotal="1"/>
        </references>
      </pivotArea>
    </format>
    <format dxfId="36">
      <pivotArea outline="0" fieldPosition="0">
        <references count="2">
          <reference field="1" count="1" selected="0">
            <x v="1"/>
          </reference>
          <reference field="6" count="0" selected="0" defaultSubtotal="1"/>
        </references>
      </pivotArea>
    </format>
    <format dxfId="35">
      <pivotArea outline="0" fieldPosition="0">
        <references count="2">
          <reference field="1" count="1" selected="0">
            <x v="0"/>
          </reference>
          <reference field="6" count="0" selected="0" defaultSubtotal="1"/>
        </references>
      </pivotArea>
    </format>
    <format dxfId="34">
      <pivotArea outline="0" fieldPosition="0">
        <references count="2">
          <reference field="1" count="1" selected="0">
            <x v="1"/>
          </reference>
          <reference field="6" count="0" selected="0" defaultSubtotal="1"/>
        </references>
      </pivotArea>
    </format>
    <format dxfId="33">
      <pivotArea dataOnly="0" labelOnly="1" outline="0" fieldPosition="0">
        <references count="1">
          <reference field="6" count="0" defaultSubtotal="1"/>
        </references>
      </pivotArea>
    </format>
    <format dxfId="32">
      <pivotArea field="5" type="button" dataOnly="0" labelOnly="1" outline="0" axis="axisRow" fieldPosition="1"/>
    </format>
    <format dxfId="31">
      <pivotArea dataOnly="0" labelOnly="1" outline="0" fieldPosition="0">
        <references count="1">
          <reference field="1" count="1">
            <x v="0"/>
          </reference>
        </references>
      </pivotArea>
    </format>
    <format dxfId="30">
      <pivotArea dataOnly="0" labelOnly="1" outline="0" fieldPosition="0">
        <references count="1">
          <reference field="1" count="1">
            <x v="1"/>
          </reference>
        </references>
      </pivotArea>
    </format>
    <format dxfId="29">
      <pivotArea type="origin" dataOnly="0" labelOnly="1" outline="0" offset="B1" fieldPosition="0"/>
    </format>
    <format dxfId="28">
      <pivotArea field="1" type="button" dataOnly="0" labelOnly="1" outline="0" axis="axisCol" fieldPosition="0"/>
    </format>
    <format dxfId="27">
      <pivotArea type="topRight" dataOnly="0" labelOnly="1" outline="0" fieldPosition="0"/>
    </format>
  </formats>
  <chartFormats count="3">
    <chartFormat chart="10" format="4" series="1">
      <pivotArea type="data" outline="0" fieldPosition="0">
        <references count="2">
          <reference field="4294967294" count="1" selected="0">
            <x v="0"/>
          </reference>
          <reference field="1" count="1" selected="0">
            <x v="0"/>
          </reference>
        </references>
      </pivotArea>
    </chartFormat>
    <chartFormat chart="10" format="5" series="1">
      <pivotArea type="data" outline="0" fieldPosition="0">
        <references count="2">
          <reference field="4294967294" count="1" selected="0">
            <x v="0"/>
          </reference>
          <reference field="1" count="1" selected="0">
            <x v="1"/>
          </reference>
        </references>
      </pivotArea>
    </chartFormat>
    <chartFormat chart="10" format="6" series="1">
      <pivotArea type="data" outline="0" fieldPosition="0">
        <references count="1">
          <reference field="4294967294" count="1" selected="0">
            <x v="0"/>
          </reference>
        </references>
      </pivotArea>
    </chartFormat>
  </chartFormats>
  <pivotTableStyleInfo name="PivotStyleLight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0AC39891-E5A8-4007-B36E-DEAC82C7123C}" autoFormatId="16" applyNumberFormats="0" applyBorderFormats="0" applyFontFormats="0" applyPatternFormats="0" applyAlignmentFormats="0" applyWidthHeightFormats="0">
  <queryTableRefresh nextId="3">
    <queryTableFields count="1">
      <queryTableField id="2" name="Expense Category"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44F1609E-9596-40B1-BB98-C339EC10E095}" autoFormatId="16" applyNumberFormats="0" applyBorderFormats="0" applyFontFormats="0" applyPatternFormats="0" applyAlignmentFormats="0" applyWidthHeightFormats="0">
  <queryTableRefresh nextId="2">
    <queryTableFields count="1">
      <queryTableField id="1" name="Income Category"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2" xr16:uid="{3E7AF7D9-A5F3-43D1-8155-E27894C9193F}" autoFormatId="16" applyNumberFormats="0" applyBorderFormats="0" applyFontFormats="0" applyPatternFormats="0" applyAlignmentFormats="0" applyWidthHeightFormats="0">
  <queryTableRefresh nextId="6">
    <queryTableFields count="5">
      <queryTableField id="1" name="Date" tableColumnId="1"/>
      <queryTableField id="2" name="Type" tableColumnId="2"/>
      <queryTableField id="3" name="Category" tableColumnId="3"/>
      <queryTableField id="4" name="Description" tableColumnId="4"/>
      <queryTableField id="5" name="Amount"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E6857394-3FEF-42A4-AE9F-5F2A78CA2957}" autoFormatId="16" applyNumberFormats="0" applyBorderFormats="0" applyFontFormats="0" applyPatternFormats="0" applyAlignmentFormats="0" applyWidthHeightFormats="0">
  <queryTableRefresh nextId="6">
    <queryTableFields count="5">
      <queryTableField id="1" name="Date" tableColumnId="1"/>
      <queryTableField id="2" name="Type" tableColumnId="2"/>
      <queryTableField id="3" name="Category" tableColumnId="3"/>
      <queryTableField id="4" name="Description" tableColumnId="4"/>
      <queryTableField id="5" name="Amount"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5" xr16:uid="{99C3AB5F-1E18-43D4-9252-06F5EE77121D}" autoFormatId="16" applyNumberFormats="0" applyBorderFormats="0" applyFontFormats="0" applyPatternFormats="0" applyAlignmentFormats="0" applyWidthHeightFormats="0">
  <queryTableRefresh nextId="6">
    <queryTableFields count="5">
      <queryTableField id="1" name="Date" tableColumnId="1"/>
      <queryTableField id="2" name="Type" tableColumnId="2"/>
      <queryTableField id="3" name="Category" tableColumnId="3"/>
      <queryTableField id="4" name="Description" tableColumnId="4"/>
      <queryTableField id="5" name="Amount"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9F07126-8B2B-4A3B-9282-D8B2728BADDE}" sourceName="Category">
  <pivotTables>
    <pivotTable tabId="12" name="Pivot_ExpensebyCategory"/>
  </pivotTables>
  <data>
    <tabular pivotCacheId="932085426">
      <items count="12">
        <i x="3" s="1"/>
        <i x="10" s="1"/>
        <i x="4" s="1"/>
        <i x="6" s="1"/>
        <i x="1" s="1"/>
        <i x="0" s="1"/>
        <i x="9" s="1"/>
        <i x="8" s="1"/>
        <i x="7" s="1"/>
        <i x="11" s="1"/>
        <i x="2"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8647C444-98FC-4D89-8BE0-306522033369}" sourceName="Months (Date)">
  <pivotTables>
    <pivotTable tabId="12" name="Pivot_ExpensebyCategory"/>
    <pivotTable tabId="14" name="Pivot_Top5Expenses"/>
  </pivotTables>
  <data>
    <tabular pivotCacheId="932085426">
      <items count="14">
        <i x="1" s="1"/>
        <i x="2" s="1"/>
        <i x="3" s="1"/>
        <i x="4" s="1"/>
        <i x="5" s="1"/>
        <i x="6" s="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BA40317-9DBE-4CFE-831D-A1ED3C100393}" sourceName="Category">
  <pivotTables>
    <pivotTable tabId="11" name="Pivot_IncomebyCategory"/>
  </pivotTables>
  <data>
    <tabular pivotCacheId="1207902413">
      <items count="5">
        <i x="3" s="1"/>
        <i x="0" s="1"/>
        <i x="2"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1" xr10:uid="{1EB0BBE7-BB5C-4721-8D2F-337653446C96}" sourceName="Months (Date)">
  <pivotTables>
    <pivotTable tabId="11" name="Pivot_IncomebyCategory"/>
  </pivotTables>
  <data>
    <tabular pivotCacheId="1207902413">
      <items count="14">
        <i x="1" s="1"/>
        <i x="2" s="1"/>
        <i x="3" s="1"/>
        <i x="4" s="1"/>
        <i x="5" s="1"/>
        <i x="6" s="1"/>
        <i x="7" s="1" nd="1"/>
        <i x="8" s="1" nd="1"/>
        <i x="9" s="1" nd="1"/>
        <i x="10" s="1" nd="1"/>
        <i x="11" s="1" nd="1"/>
        <i x="12" s="1" nd="1"/>
        <i x="0" s="1" nd="1"/>
        <i x="1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0ADAD385-FB0F-4A84-BDE6-179EDCED14FD}" sourceName="Category">
  <pivotTables>
    <pivotTable tabId="14" name="Pivot_Top5Expenses"/>
  </pivotTables>
  <data>
    <tabular pivotCacheId="932085426">
      <items count="12">
        <i x="3" s="1"/>
        <i x="10" s="1"/>
        <i x="4" s="1"/>
        <i x="6" s="1"/>
        <i x="1" s="1"/>
        <i x="0" s="1"/>
        <i x="9" s="1"/>
        <i x="8" s="1"/>
        <i x="7" s="1"/>
        <i x="11" s="1"/>
        <i x="2"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604D739C-A558-49E5-B6E6-51FDA5111896}" sourceName="Type">
  <pivotTables>
    <pivotTable tabId="9" name="ptMonthlySummary"/>
  </pivotTables>
  <data>
    <tabular pivotCacheId="1748004627">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3" xr10:uid="{8A4C1E10-166B-43FD-9BC1-28B277A92904}" sourceName="Months (Date)">
  <pivotTables>
    <pivotTable tabId="9" name="ptMonthlySummary"/>
  </pivotTables>
  <data>
    <tabular pivotCacheId="1748004627">
      <items count="14">
        <i x="1" s="1"/>
        <i x="2" s="1"/>
        <i x="3" s="1"/>
        <i x="4" s="1"/>
        <i x="5" s="1"/>
        <i x="6" s="1"/>
        <i x="7" s="1" nd="1"/>
        <i x="8" s="1" nd="1"/>
        <i x="9" s="1" nd="1"/>
        <i x="10" s="1" nd="1"/>
        <i x="11" s="1" nd="1"/>
        <i x="12" s="1" nd="1"/>
        <i x="0" s="1" nd="1"/>
        <i x="1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770BD6DA-562D-43C8-A00B-94C4849CB796}" sourceName="Category">
  <pivotTables>
    <pivotTable tabId="16" name="PivotTable1"/>
  </pivotTables>
  <data>
    <tabular pivotCacheId="1207902413">
      <items count="5">
        <i x="3" s="1"/>
        <i x="0" s="1"/>
        <i x="2" s="1"/>
        <i x="1" s="1"/>
        <i x="4"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2" xr10:uid="{7EDB07B7-DA4A-4EDD-9C86-9ECB6C25258E}" sourceName="Months (Date)">
  <pivotTables>
    <pivotTable tabId="16" name="PivotTable1"/>
  </pivotTables>
  <data>
    <tabular pivotCacheId="1207902413">
      <items count="14">
        <i x="1" s="1"/>
        <i x="2" s="1"/>
        <i x="3" s="1"/>
        <i x="4" s="1"/>
        <i x="5" s="1"/>
        <i x="6" s="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ate) 2" xr10:uid="{0B05A270-7C2C-43B8-9917-6CA68F499164}" cache="Slicer_Months__Date" caption="Months (Date)" style="SlicerStyleDark5" rowHeight="234950"/>
  <slicer name="Category 2" xr10:uid="{05C20A5D-C497-4071-A51A-7867EB6B45AB}" cache="Slicer_Category2" caption="Category" style="SlicerStyleDark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5" xr10:uid="{AC1E4887-DB2F-437F-A09A-EA014DCF0972}" cache="Slicer_Category3" caption="Category" style="SlicerStyleDark5" rowHeight="234950"/>
  <slicer name="Months (Date) 5" xr10:uid="{320C82AB-55CB-4B40-970F-48D9AA04E8C9}" cache="Slicer_Months__Date2" caption="Months (Date)" style="SlicerStyleDark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A450C0E-FC65-44AB-BF1B-54F2B7EAC49A}" cache="Slicer_Category" caption="Category" style="SlicerStyleDark5" rowHeight="234950"/>
  <slicer name="Months (Date)" xr10:uid="{5DE4B577-5CD5-42C1-BE2A-092F376E9F5D}" cache="Slicer_Months__Date" caption="Months (Date)" style="SlicerStyleDark5"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A8302AD8-A244-4D46-B82F-7FF5DDA54E97}" cache="Slicer_Category1" caption="Category" style="SlicerStyleDark5" rowHeight="234950"/>
  <slicer name="Months (Date) 1" xr10:uid="{340B5007-FE61-4EBE-ACB2-04B1D5B77D60}" cache="Slicer_Months__Date1" caption="Months (Date)" style="SlicerStyleDark5"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769C26D2-F6D3-4849-87C7-1E526BF8C746}" cache="Slicer_Type" caption="Type" style="SlicerStyleDark5" rowHeight="234950"/>
  <slicer name="Months (Date) 3" xr10:uid="{F066A073-ED7B-45E0-9435-C5E77BF03108}" cache="Slicer_Months__Date3" caption="Months (Date)" style="SlicerStyleDark5"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C3FECDD8-6E02-45F7-A862-475D4532A776}" cache="Slicer_Category" caption="Expense Category" style="SlicerStyleDark5" rowHeight="234950"/>
  <slicer name="Category 3" xr10:uid="{C8D9FB06-F1E5-4101-93F9-C1E2C168BC28}" cache="Slicer_Category1" caption="Income Category" style="SlicerStyleDark5" rowHeight="234950"/>
  <slicer name="Type 1" xr10:uid="{6C0F9E8A-36D1-427B-8F9D-11EA7F94CCD5}" cache="Slicer_Type" caption="Type" style="SlicerStyleDark5" rowHeight="234950"/>
  <slicer name="Months (2025) 4" xr10:uid="{55A287B6-A2FF-488E-A0B5-D825014C9275}" cache="Slicer_Months__Date3" caption="Months (2025)" style="SlicerStyleDark5"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B7A5509-8E27-4E70-9761-78566D6FD53E}" name="Expense_Categories" displayName="Expense_Categories" ref="B1:B13" tableType="queryTable" totalsRowShown="0" headerRowDxfId="26">
  <autoFilter ref="B1:B13" xr:uid="{6B7A5509-8E27-4E70-9761-78566D6FD53E}"/>
  <tableColumns count="1">
    <tableColumn id="2" xr3:uid="{F5A020D8-E04F-4B83-8221-7D3629D78AF3}" uniqueName="2" name="Expense Category" queryTableFieldId="2"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EC28477-5F48-4234-9C45-475308103C78}" name="Income_Categories" displayName="Income_Categories" ref="A1:A6" tableType="queryTable" totalsRowShown="0" headerRowDxfId="24" dataDxfId="23">
  <autoFilter ref="A1:A6" xr:uid="{2EC28477-5F48-4234-9C45-475308103C78}"/>
  <tableColumns count="1">
    <tableColumn id="1" xr3:uid="{BCA0C3E1-6044-4562-9E0C-C079D56CFBBC}" uniqueName="1" name="Income Category" queryTableFieldId="1" dataDxfId="2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9BE065-1222-4140-BAEC-6304FB6E8268}" name="Expense_Data" displayName="Expense_Data" ref="A1:E251" tableType="queryTable" totalsRowShown="0">
  <autoFilter ref="A1:E251" xr:uid="{919BE065-1222-4140-BAEC-6304FB6E8268}"/>
  <tableColumns count="5">
    <tableColumn id="1" xr3:uid="{88F62E71-8A8D-4430-9CBE-F22C0288DF3E}" uniqueName="1" name="Date" queryTableFieldId="1" dataDxfId="21"/>
    <tableColumn id="2" xr3:uid="{5583A7E6-A1A1-41B5-8A39-ADCCC12217FC}" uniqueName="2" name="Type" queryTableFieldId="2" dataDxfId="20"/>
    <tableColumn id="3" xr3:uid="{C4311B20-2C7E-4CCC-9346-70CB2C398B70}" uniqueName="3" name="Category" queryTableFieldId="3" dataDxfId="19"/>
    <tableColumn id="4" xr3:uid="{0713DF29-5368-4CB4-AFCA-689E5337F64A}" uniqueName="4" name="Description" queryTableFieldId="4" dataDxfId="18"/>
    <tableColumn id="5" xr3:uid="{E4D4B37F-CAAA-46B8-A04D-1D20A4BF9F19}" uniqueName="5" name="Amount" queryTableFieldId="5" dataDxfId="17"/>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C002F3-AE66-4552-8997-9423B26B313D}" name="Income_Data" displayName="Income_Data" ref="A1:E101" tableType="queryTable" totalsRowShown="0">
  <autoFilter ref="A1:E101" xr:uid="{65C002F3-AE66-4552-8997-9423B26B313D}"/>
  <tableColumns count="5">
    <tableColumn id="1" xr3:uid="{9BE36000-832A-41A9-B6F5-A719993426FA}" uniqueName="1" name="Date" queryTableFieldId="1" dataDxfId="16"/>
    <tableColumn id="2" xr3:uid="{2F357E9A-92EC-4280-9C72-A51EE1C83257}" uniqueName="2" name="Type" queryTableFieldId="2" dataDxfId="15"/>
    <tableColumn id="3" xr3:uid="{A7708A6E-6D65-485D-A879-456BF2A3C1EC}" uniqueName="3" name="Category" queryTableFieldId="3" dataDxfId="14"/>
    <tableColumn id="4" xr3:uid="{051F5678-79E1-426A-8BAE-98B4934C03AB}" uniqueName="4" name="Description" queryTableFieldId="4" dataDxfId="13"/>
    <tableColumn id="5" xr3:uid="{E5BA049F-150D-47C3-84E8-7F6447287FAE}" uniqueName="5" name="Amount" queryTableFieldId="5" dataDxfId="12"/>
  </tableColumns>
  <tableStyleInfo name="TableStyleMedium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B26C19-52B3-4868-BADF-3C2855364A16}" name="tblRawData_1" displayName="tblRawData_1" ref="A1:E352" tableType="queryTable" totalsRowShown="0">
  <autoFilter ref="A1:E352" xr:uid="{02B26C19-52B3-4868-BADF-3C2855364A16}"/>
  <tableColumns count="5">
    <tableColumn id="1" xr3:uid="{A8F2157A-F3E3-42DE-8948-6E9F76361CEB}" uniqueName="1" name="Date" queryTableFieldId="1" dataDxfId="1"/>
    <tableColumn id="2" xr3:uid="{DA01D723-41EB-4145-90B1-7959B85E8031}" uniqueName="2" name="Type" queryTableFieldId="2" dataDxfId="11"/>
    <tableColumn id="3" xr3:uid="{5F8B7801-261F-44A8-8854-0964F7BFB7CB}" uniqueName="3" name="Category" queryTableFieldId="3" dataDxfId="10"/>
    <tableColumn id="4" xr3:uid="{98C8BADF-37C4-4BEE-B079-5CB404DF2017}" uniqueName="4" name="Description" queryTableFieldId="4" dataDxfId="9"/>
    <tableColumn id="5" xr3:uid="{A0336865-5F5A-4D37-BB79-965EFE2F1B3C}" uniqueName="5" name="Amount" queryTableFieldId="5" dataDxfId="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AD6D3AF-5C72-403B-954F-27D37C638C9B}" name="tblRawData" displayName="tblRawData" ref="A2:E353" totalsRowShown="0" headerRowDxfId="8" dataDxfId="7">
  <autoFilter ref="A2:E353" xr:uid="{5AD6D3AF-5C72-403B-954F-27D37C638C9B}"/>
  <tableColumns count="5">
    <tableColumn id="1" xr3:uid="{9DBC5593-F06A-4FB4-8A55-B5EFD545AD3D}" name="Date" dataDxfId="6"/>
    <tableColumn id="2" xr3:uid="{FC2C206C-6A5D-414F-8C1B-B5721B9B9252}" name="Amount" dataDxfId="5"/>
    <tableColumn id="3" xr3:uid="{28A69D9D-806E-4C1E-B637-E29B2428EDD7}" name="Description" dataDxfId="4"/>
    <tableColumn id="4" xr3:uid="{01144715-0D5B-4407-A2AE-FDDB076D2746}" name="Type" dataDxfId="3"/>
    <tableColumn id="5" xr3:uid="{3B8015A3-5AD5-475A-B6A7-319104D6895F}" name="Category"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1CBC3-E8A3-4529-A5F5-FBDB5336D11F}">
  <dimension ref="A1:F6"/>
  <sheetViews>
    <sheetView workbookViewId="0">
      <selection activeCell="G3" sqref="G3"/>
    </sheetView>
  </sheetViews>
  <sheetFormatPr defaultRowHeight="14.4" x14ac:dyDescent="0.3"/>
  <cols>
    <col min="1" max="1" width="12.33203125" bestFit="1" customWidth="1"/>
    <col min="2" max="2" width="12.88671875" bestFit="1" customWidth="1"/>
    <col min="5" max="5" width="13.88671875" bestFit="1" customWidth="1"/>
  </cols>
  <sheetData>
    <row r="1" spans="1:6" x14ac:dyDescent="0.3">
      <c r="A1" s="57" t="s">
        <v>106</v>
      </c>
      <c r="B1" s="57" t="s">
        <v>107</v>
      </c>
      <c r="E1" t="s">
        <v>111</v>
      </c>
      <c r="F1">
        <v>10</v>
      </c>
    </row>
    <row r="2" spans="1:6" x14ac:dyDescent="0.3">
      <c r="A2" t="s">
        <v>108</v>
      </c>
      <c r="B2" s="55">
        <f>GETPIVOTDATA("Amount",Pivot_MonthlySummary!$A$3,"Type","Income","Years (Date)",2025)</f>
        <v>2639429</v>
      </c>
      <c r="E2" t="s">
        <v>112</v>
      </c>
      <c r="F2">
        <v>10</v>
      </c>
    </row>
    <row r="3" spans="1:6" x14ac:dyDescent="0.3">
      <c r="A3" t="s">
        <v>109</v>
      </c>
      <c r="B3" s="55">
        <f>GETPIVOTDATA("Amount",Pivot_MonthlySummary!$A$3,"Type","Expense","Years (Date)",2025)</f>
        <v>2487868</v>
      </c>
      <c r="E3" t="s">
        <v>113</v>
      </c>
      <c r="F3">
        <v>10</v>
      </c>
    </row>
    <row r="4" spans="1:6" x14ac:dyDescent="0.3">
      <c r="A4" t="s">
        <v>100</v>
      </c>
      <c r="B4" s="55">
        <f>B2 - B3</f>
        <v>151561</v>
      </c>
      <c r="E4" t="s">
        <v>114</v>
      </c>
      <c r="F4">
        <v>30</v>
      </c>
    </row>
    <row r="5" spans="1:6" x14ac:dyDescent="0.3">
      <c r="A5" t="s">
        <v>110</v>
      </c>
      <c r="B5" s="56">
        <f>IF(B2=0, 0, B4 / B2)</f>
        <v>5.7421889355614417E-2</v>
      </c>
      <c r="E5" t="s">
        <v>115</v>
      </c>
      <c r="F5">
        <f>MIN(B5*30,30)</f>
        <v>1.7226566806684325</v>
      </c>
    </row>
    <row r="6" spans="1:6" x14ac:dyDescent="0.3">
      <c r="E6" t="s">
        <v>116</v>
      </c>
      <c r="F6">
        <f>30 -F5</f>
        <v>28.277343319331568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1F014-36F6-4E88-93E3-90864BD7DC6E}">
  <sheetPr>
    <tabColor rgb="FFDE3E49"/>
  </sheetPr>
  <dimension ref="A1:B9"/>
  <sheetViews>
    <sheetView workbookViewId="0">
      <selection activeCell="M24" sqref="M24"/>
    </sheetView>
  </sheetViews>
  <sheetFormatPr defaultRowHeight="14.4" x14ac:dyDescent="0.3"/>
  <cols>
    <col min="1" max="1" width="29.5546875" bestFit="1" customWidth="1"/>
    <col min="2" max="2" width="13.6640625" bestFit="1" customWidth="1"/>
  </cols>
  <sheetData>
    <row r="1" spans="1:2" ht="15" thickBot="1" x14ac:dyDescent="0.35">
      <c r="A1" s="50" t="s">
        <v>105</v>
      </c>
    </row>
    <row r="2" spans="1:2" ht="15" thickBot="1" x14ac:dyDescent="0.35">
      <c r="A2" s="51" t="s">
        <v>101</v>
      </c>
    </row>
    <row r="3" spans="1:2" x14ac:dyDescent="0.3">
      <c r="A3" s="47" t="s">
        <v>86</v>
      </c>
      <c r="B3" s="52" t="s">
        <v>95</v>
      </c>
    </row>
    <row r="4" spans="1:2" x14ac:dyDescent="0.3">
      <c r="A4" s="54" t="s">
        <v>18</v>
      </c>
      <c r="B4" s="49">
        <v>134718</v>
      </c>
    </row>
    <row r="5" spans="1:2" x14ac:dyDescent="0.3">
      <c r="A5" s="22" t="s">
        <v>59</v>
      </c>
      <c r="B5" s="21">
        <v>131662</v>
      </c>
    </row>
    <row r="6" spans="1:2" x14ac:dyDescent="0.3">
      <c r="A6" s="22" t="s">
        <v>43</v>
      </c>
      <c r="B6" s="21">
        <v>101825</v>
      </c>
    </row>
    <row r="7" spans="1:2" x14ac:dyDescent="0.3">
      <c r="A7" s="22" t="s">
        <v>49</v>
      </c>
      <c r="B7" s="21">
        <v>97779</v>
      </c>
    </row>
    <row r="8" spans="1:2" x14ac:dyDescent="0.3">
      <c r="A8" s="22" t="s">
        <v>51</v>
      </c>
      <c r="B8" s="21">
        <v>91536</v>
      </c>
    </row>
    <row r="9" spans="1:2" x14ac:dyDescent="0.3">
      <c r="A9" s="48" t="s">
        <v>87</v>
      </c>
      <c r="B9" s="53">
        <v>557520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5F471-D35C-4FBE-B3DD-6E853AFF7D51}">
  <sheetPr>
    <tabColor rgb="FF92D050"/>
  </sheetPr>
  <dimension ref="A1:B9"/>
  <sheetViews>
    <sheetView workbookViewId="0">
      <selection activeCell="L13" sqref="L13"/>
    </sheetView>
  </sheetViews>
  <sheetFormatPr defaultRowHeight="14.4" x14ac:dyDescent="0.3"/>
  <cols>
    <col min="1" max="1" width="29.5546875" bestFit="1" customWidth="1"/>
    <col min="2" max="2" width="14.44140625" bestFit="1" customWidth="1"/>
  </cols>
  <sheetData>
    <row r="1" spans="1:2" s="22" customFormat="1" x14ac:dyDescent="0.3">
      <c r="A1" s="67" t="s">
        <v>118</v>
      </c>
    </row>
    <row r="2" spans="1:2" s="22" customFormat="1" x14ac:dyDescent="0.3">
      <c r="A2" s="68" t="s">
        <v>101</v>
      </c>
    </row>
    <row r="3" spans="1:2" s="22" customFormat="1" x14ac:dyDescent="0.3">
      <c r="A3" s="73" t="s">
        <v>86</v>
      </c>
      <c r="B3" s="74" t="s">
        <v>95</v>
      </c>
    </row>
    <row r="4" spans="1:2" s="22" customFormat="1" x14ac:dyDescent="0.3">
      <c r="A4" s="69" t="s">
        <v>63</v>
      </c>
      <c r="B4" s="70">
        <v>271578</v>
      </c>
    </row>
    <row r="5" spans="1:2" s="22" customFormat="1" x14ac:dyDescent="0.3">
      <c r="A5" s="69" t="s">
        <v>23</v>
      </c>
      <c r="B5" s="70">
        <v>260321</v>
      </c>
    </row>
    <row r="6" spans="1:2" s="22" customFormat="1" x14ac:dyDescent="0.3">
      <c r="A6" s="69" t="s">
        <v>11</v>
      </c>
      <c r="B6" s="70">
        <v>225442</v>
      </c>
    </row>
    <row r="7" spans="1:2" s="22" customFormat="1" x14ac:dyDescent="0.3">
      <c r="A7" s="69" t="s">
        <v>29</v>
      </c>
      <c r="B7" s="70">
        <v>220492</v>
      </c>
    </row>
    <row r="8" spans="1:2" s="22" customFormat="1" x14ac:dyDescent="0.3">
      <c r="A8" s="69" t="s">
        <v>50</v>
      </c>
      <c r="B8" s="70">
        <v>338388</v>
      </c>
    </row>
    <row r="9" spans="1:2" s="22" customFormat="1" x14ac:dyDescent="0.3">
      <c r="A9" s="71" t="s">
        <v>87</v>
      </c>
      <c r="B9" s="72">
        <v>1316221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57096-118C-4BDF-8AAD-98A67EF5447D}">
  <sheetPr>
    <tabColor rgb="FFFF9933"/>
  </sheetPr>
  <dimension ref="A1:N12"/>
  <sheetViews>
    <sheetView zoomScale="82" workbookViewId="0">
      <selection activeCell="G39" sqref="G39"/>
    </sheetView>
  </sheetViews>
  <sheetFormatPr defaultRowHeight="14.4" x14ac:dyDescent="0.3"/>
  <cols>
    <col min="1" max="1" width="14.77734375" bestFit="1" customWidth="1"/>
    <col min="2" max="2" width="17.77734375" bestFit="1" customWidth="1"/>
    <col min="3" max="4" width="12.109375" bestFit="1" customWidth="1"/>
    <col min="5" max="5" width="13.21875" bestFit="1" customWidth="1"/>
    <col min="6" max="6" width="46.5546875" bestFit="1" customWidth="1"/>
    <col min="7" max="13" width="12.109375" bestFit="1" customWidth="1"/>
    <col min="14" max="14" width="13.21875" bestFit="1" customWidth="1"/>
  </cols>
  <sheetData>
    <row r="1" spans="1:14" ht="18.600000000000001" thickBot="1" x14ac:dyDescent="0.4">
      <c r="F1" s="40" t="s">
        <v>104</v>
      </c>
    </row>
    <row r="2" spans="1:14" ht="15" thickBot="1" x14ac:dyDescent="0.35">
      <c r="F2" s="46" t="s">
        <v>101</v>
      </c>
    </row>
    <row r="3" spans="1:14" s="22" customFormat="1" x14ac:dyDescent="0.3">
      <c r="A3" s="35" t="s">
        <v>95</v>
      </c>
      <c r="B3" s="34" t="s">
        <v>94</v>
      </c>
      <c r="C3" s="34"/>
      <c r="D3" s="34"/>
      <c r="E3" s="34"/>
      <c r="F3" s="34"/>
      <c r="G3" s="34"/>
      <c r="H3" s="34"/>
      <c r="I3" s="34"/>
      <c r="J3" s="34"/>
      <c r="K3" s="34"/>
      <c r="L3" s="34"/>
      <c r="M3" s="34"/>
      <c r="N3" s="34"/>
    </row>
    <row r="4" spans="1:14" s="22" customFormat="1" x14ac:dyDescent="0.3">
      <c r="A4" s="38" t="s">
        <v>86</v>
      </c>
      <c r="B4" s="36" t="s">
        <v>21</v>
      </c>
      <c r="C4" s="36" t="s">
        <v>52</v>
      </c>
      <c r="D4" s="36" t="s">
        <v>26</v>
      </c>
      <c r="E4" s="36" t="s">
        <v>33</v>
      </c>
      <c r="F4" s="36" t="s">
        <v>16</v>
      </c>
      <c r="G4" s="36" t="s">
        <v>10</v>
      </c>
      <c r="H4" s="36" t="s">
        <v>46</v>
      </c>
      <c r="I4" s="36" t="s">
        <v>39</v>
      </c>
      <c r="J4" s="36" t="s">
        <v>36</v>
      </c>
      <c r="K4" s="36" t="s">
        <v>54</v>
      </c>
      <c r="L4" s="36" t="s">
        <v>19</v>
      </c>
      <c r="M4" s="36" t="s">
        <v>28</v>
      </c>
      <c r="N4" s="36" t="s">
        <v>87</v>
      </c>
    </row>
    <row r="5" spans="1:14" s="22" customFormat="1" x14ac:dyDescent="0.3">
      <c r="A5" s="22" t="s">
        <v>96</v>
      </c>
      <c r="B5" s="21">
        <v>232659</v>
      </c>
      <c r="C5" s="21">
        <v>202990</v>
      </c>
      <c r="D5" s="21">
        <v>157488</v>
      </c>
      <c r="E5" s="21">
        <v>160203</v>
      </c>
      <c r="F5" s="21">
        <v>232154</v>
      </c>
      <c r="G5" s="21">
        <v>216210</v>
      </c>
      <c r="H5" s="21">
        <v>202522</v>
      </c>
      <c r="I5" s="21">
        <v>248989</v>
      </c>
      <c r="J5" s="21">
        <v>236463</v>
      </c>
      <c r="K5" s="21">
        <v>215109</v>
      </c>
      <c r="L5" s="21">
        <v>263627</v>
      </c>
      <c r="M5" s="21">
        <v>119454</v>
      </c>
      <c r="N5" s="21">
        <v>2487868</v>
      </c>
    </row>
    <row r="6" spans="1:14" s="22" customFormat="1" x14ac:dyDescent="0.3">
      <c r="A6" s="22" t="s">
        <v>88</v>
      </c>
      <c r="B6" s="21">
        <v>61495</v>
      </c>
      <c r="C6" s="21">
        <v>16129</v>
      </c>
      <c r="D6" s="21">
        <v>7086</v>
      </c>
      <c r="E6" s="21">
        <v>7236</v>
      </c>
      <c r="F6" s="21">
        <v>19730</v>
      </c>
      <c r="G6" s="21">
        <v>25844</v>
      </c>
      <c r="H6" s="21">
        <v>12579</v>
      </c>
      <c r="I6" s="21">
        <v>51688</v>
      </c>
      <c r="J6" s="21">
        <v>18881</v>
      </c>
      <c r="K6" s="21">
        <v>34857</v>
      </c>
      <c r="L6" s="21">
        <v>39704</v>
      </c>
      <c r="M6" s="21">
        <v>35322</v>
      </c>
      <c r="N6" s="21">
        <v>330551</v>
      </c>
    </row>
    <row r="7" spans="1:14" s="22" customFormat="1" x14ac:dyDescent="0.3">
      <c r="A7" s="22" t="s">
        <v>89</v>
      </c>
      <c r="B7" s="21">
        <v>38389</v>
      </c>
      <c r="C7" s="21">
        <v>17652</v>
      </c>
      <c r="D7" s="21">
        <v>23998</v>
      </c>
      <c r="E7" s="21">
        <v>25084</v>
      </c>
      <c r="F7" s="21">
        <v>42444</v>
      </c>
      <c r="G7" s="21">
        <v>57502</v>
      </c>
      <c r="H7" s="21">
        <v>55805</v>
      </c>
      <c r="I7" s="21">
        <v>65744</v>
      </c>
      <c r="J7" s="21">
        <v>24721</v>
      </c>
      <c r="K7" s="21">
        <v>15851</v>
      </c>
      <c r="L7" s="21">
        <v>82411</v>
      </c>
      <c r="M7" s="21">
        <v>12824</v>
      </c>
      <c r="N7" s="21">
        <v>462425</v>
      </c>
    </row>
    <row r="8" spans="1:14" s="22" customFormat="1" x14ac:dyDescent="0.3">
      <c r="A8" s="22" t="s">
        <v>90</v>
      </c>
      <c r="B8" s="21">
        <v>6264</v>
      </c>
      <c r="C8" s="21">
        <v>42255</v>
      </c>
      <c r="D8" s="21">
        <v>32487</v>
      </c>
      <c r="E8" s="21">
        <v>21242</v>
      </c>
      <c r="F8" s="21">
        <v>36331</v>
      </c>
      <c r="G8" s="21">
        <v>52198</v>
      </c>
      <c r="H8" s="21">
        <v>8775</v>
      </c>
      <c r="I8" s="21">
        <v>37668</v>
      </c>
      <c r="J8" s="21">
        <v>17051</v>
      </c>
      <c r="K8" s="21">
        <v>66526</v>
      </c>
      <c r="L8" s="21">
        <v>24249</v>
      </c>
      <c r="M8" s="21">
        <v>6603</v>
      </c>
      <c r="N8" s="21">
        <v>351649</v>
      </c>
    </row>
    <row r="9" spans="1:14" s="22" customFormat="1" x14ac:dyDescent="0.3">
      <c r="A9" s="22" t="s">
        <v>91</v>
      </c>
      <c r="B9" s="21">
        <v>39410</v>
      </c>
      <c r="C9" s="21">
        <v>47360</v>
      </c>
      <c r="D9" s="21">
        <v>42036</v>
      </c>
      <c r="E9" s="21">
        <v>19162</v>
      </c>
      <c r="F9" s="21">
        <v>47933</v>
      </c>
      <c r="G9" s="21">
        <v>1749</v>
      </c>
      <c r="H9" s="21">
        <v>33391</v>
      </c>
      <c r="I9" s="21">
        <v>18863</v>
      </c>
      <c r="J9" s="21">
        <v>80284</v>
      </c>
      <c r="K9" s="21">
        <v>56245</v>
      </c>
      <c r="L9" s="21">
        <v>55114</v>
      </c>
      <c r="M9" s="21">
        <v>21114</v>
      </c>
      <c r="N9" s="21">
        <v>462661</v>
      </c>
    </row>
    <row r="10" spans="1:14" s="22" customFormat="1" x14ac:dyDescent="0.3">
      <c r="A10" s="22" t="s">
        <v>92</v>
      </c>
      <c r="B10" s="21">
        <v>16351</v>
      </c>
      <c r="C10" s="21">
        <v>46200</v>
      </c>
      <c r="D10" s="21">
        <v>15320</v>
      </c>
      <c r="E10" s="21">
        <v>36414</v>
      </c>
      <c r="F10" s="21">
        <v>32220</v>
      </c>
      <c r="G10" s="21">
        <v>20729</v>
      </c>
      <c r="H10" s="21">
        <v>61149</v>
      </c>
      <c r="I10" s="21">
        <v>53742</v>
      </c>
      <c r="J10" s="21">
        <v>21086</v>
      </c>
      <c r="K10" s="21">
        <v>36822</v>
      </c>
      <c r="L10" s="21">
        <v>33223</v>
      </c>
      <c r="M10" s="21">
        <v>21116</v>
      </c>
      <c r="N10" s="21">
        <v>394372</v>
      </c>
    </row>
    <row r="11" spans="1:14" s="22" customFormat="1" x14ac:dyDescent="0.3">
      <c r="A11" s="22" t="s">
        <v>93</v>
      </c>
      <c r="B11" s="21">
        <v>70750</v>
      </c>
      <c r="C11" s="21">
        <v>33394</v>
      </c>
      <c r="D11" s="21">
        <v>36561</v>
      </c>
      <c r="E11" s="21">
        <v>51065</v>
      </c>
      <c r="F11" s="21">
        <v>53496</v>
      </c>
      <c r="G11" s="21">
        <v>58188</v>
      </c>
      <c r="H11" s="21">
        <v>30823</v>
      </c>
      <c r="I11" s="21">
        <v>21284</v>
      </c>
      <c r="J11" s="21">
        <v>74440</v>
      </c>
      <c r="K11" s="21">
        <v>4808</v>
      </c>
      <c r="L11" s="21">
        <v>28926</v>
      </c>
      <c r="M11" s="21">
        <v>22475</v>
      </c>
      <c r="N11" s="21">
        <v>486210</v>
      </c>
    </row>
    <row r="12" spans="1:14" s="22" customFormat="1" x14ac:dyDescent="0.3">
      <c r="A12" s="37" t="s">
        <v>87</v>
      </c>
      <c r="B12" s="39">
        <v>232659</v>
      </c>
      <c r="C12" s="39">
        <v>202990</v>
      </c>
      <c r="D12" s="39">
        <v>157488</v>
      </c>
      <c r="E12" s="39">
        <v>160203</v>
      </c>
      <c r="F12" s="39">
        <v>232154</v>
      </c>
      <c r="G12" s="39">
        <v>216210</v>
      </c>
      <c r="H12" s="39">
        <v>202522</v>
      </c>
      <c r="I12" s="39">
        <v>248989</v>
      </c>
      <c r="J12" s="39">
        <v>236463</v>
      </c>
      <c r="K12" s="39">
        <v>215109</v>
      </c>
      <c r="L12" s="39">
        <v>263627</v>
      </c>
      <c r="M12" s="39">
        <v>119454</v>
      </c>
      <c r="N12" s="39">
        <v>2487868</v>
      </c>
    </row>
  </sheetData>
  <conditionalFormatting sqref="F15">
    <cfRule type="cellIs" dxfId="212" priority="2" operator="lessThan">
      <formula>40000</formula>
    </cfRule>
  </conditionalFormatting>
  <conditionalFormatting pivot="1" sqref="B5:N12">
    <cfRule type="cellIs" dxfId="211" priority="1" operator="lessThan">
      <formula>40000</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F1FC8-E14A-4559-96F9-89E771CEEB67}">
  <sheetPr>
    <tabColor rgb="FF99FF99"/>
  </sheetPr>
  <dimension ref="A1:G43"/>
  <sheetViews>
    <sheetView workbookViewId="0">
      <selection activeCell="E20" sqref="E20"/>
    </sheetView>
  </sheetViews>
  <sheetFormatPr defaultRowHeight="14.4" x14ac:dyDescent="0.3"/>
  <cols>
    <col min="1" max="1" width="14.44140625" bestFit="1" customWidth="1"/>
    <col min="2" max="2" width="17.77734375" bestFit="1" customWidth="1"/>
    <col min="3" max="3" width="45.5546875" bestFit="1" customWidth="1"/>
    <col min="4" max="4" width="12.109375" bestFit="1" customWidth="1"/>
    <col min="5" max="5" width="14" bestFit="1" customWidth="1"/>
    <col min="6" max="6" width="12.109375" bestFit="1" customWidth="1"/>
    <col min="7" max="7" width="13.21875" bestFit="1" customWidth="1"/>
  </cols>
  <sheetData>
    <row r="1" spans="1:7" ht="18.600000000000001" thickBot="1" x14ac:dyDescent="0.4">
      <c r="C1" s="32" t="s">
        <v>102</v>
      </c>
    </row>
    <row r="2" spans="1:7" ht="15" thickBot="1" x14ac:dyDescent="0.35">
      <c r="C2" s="33" t="s">
        <v>101</v>
      </c>
    </row>
    <row r="3" spans="1:7" x14ac:dyDescent="0.3">
      <c r="A3" s="43" t="s">
        <v>95</v>
      </c>
      <c r="B3" s="42" t="s">
        <v>94</v>
      </c>
      <c r="C3" s="42"/>
      <c r="D3" s="44"/>
      <c r="E3" s="44"/>
      <c r="F3" s="44"/>
      <c r="G3" s="44"/>
    </row>
    <row r="4" spans="1:7" x14ac:dyDescent="0.3">
      <c r="A4" s="63" t="s">
        <v>86</v>
      </c>
      <c r="B4" s="41" t="s">
        <v>24</v>
      </c>
      <c r="C4" s="41" t="s">
        <v>7</v>
      </c>
      <c r="D4" s="41" t="s">
        <v>14</v>
      </c>
      <c r="E4" s="41" t="s">
        <v>12</v>
      </c>
      <c r="F4" s="41" t="s">
        <v>61</v>
      </c>
      <c r="G4" s="41" t="s">
        <v>87</v>
      </c>
    </row>
    <row r="5" spans="1:7" x14ac:dyDescent="0.3">
      <c r="A5" s="64" t="s">
        <v>88</v>
      </c>
      <c r="B5" s="21">
        <v>209624</v>
      </c>
      <c r="C5" s="21">
        <v>208315</v>
      </c>
      <c r="D5" s="21">
        <v>40990</v>
      </c>
      <c r="E5" s="21">
        <v>121260</v>
      </c>
      <c r="F5" s="21">
        <v>26506</v>
      </c>
      <c r="G5" s="21">
        <v>606695</v>
      </c>
    </row>
    <row r="6" spans="1:7" x14ac:dyDescent="0.3">
      <c r="A6" s="64" t="s">
        <v>89</v>
      </c>
      <c r="B6" s="21"/>
      <c r="C6" s="21">
        <v>178959</v>
      </c>
      <c r="D6" s="21">
        <v>100153</v>
      </c>
      <c r="E6" s="21">
        <v>115183</v>
      </c>
      <c r="F6" s="21"/>
      <c r="G6" s="21">
        <v>394295</v>
      </c>
    </row>
    <row r="7" spans="1:7" x14ac:dyDescent="0.3">
      <c r="A7" s="64" t="s">
        <v>90</v>
      </c>
      <c r="B7" s="21">
        <v>102756</v>
      </c>
      <c r="C7" s="21">
        <v>8366</v>
      </c>
      <c r="D7" s="21">
        <v>88225</v>
      </c>
      <c r="E7" s="21">
        <v>108567</v>
      </c>
      <c r="F7" s="21">
        <v>146677</v>
      </c>
      <c r="G7" s="21">
        <v>454591</v>
      </c>
    </row>
    <row r="8" spans="1:7" x14ac:dyDescent="0.3">
      <c r="A8" s="64" t="s">
        <v>91</v>
      </c>
      <c r="B8" s="21">
        <v>40589</v>
      </c>
      <c r="C8" s="21">
        <v>286540</v>
      </c>
      <c r="D8" s="21"/>
      <c r="E8" s="21">
        <v>121373</v>
      </c>
      <c r="F8" s="21">
        <v>27041</v>
      </c>
      <c r="G8" s="21">
        <v>475543</v>
      </c>
    </row>
    <row r="9" spans="1:7" x14ac:dyDescent="0.3">
      <c r="A9" s="64" t="s">
        <v>92</v>
      </c>
      <c r="B9" s="21">
        <v>91234</v>
      </c>
      <c r="C9" s="21"/>
      <c r="D9" s="21">
        <v>80905</v>
      </c>
      <c r="E9" s="21">
        <v>161200</v>
      </c>
      <c r="F9" s="21">
        <v>12271</v>
      </c>
      <c r="G9" s="21">
        <v>345610</v>
      </c>
    </row>
    <row r="10" spans="1:7" x14ac:dyDescent="0.3">
      <c r="A10" s="64" t="s">
        <v>93</v>
      </c>
      <c r="B10" s="21">
        <v>58401</v>
      </c>
      <c r="C10" s="21">
        <v>78644</v>
      </c>
      <c r="D10" s="21">
        <v>84593</v>
      </c>
      <c r="E10" s="21">
        <v>89929</v>
      </c>
      <c r="F10" s="21">
        <v>51128</v>
      </c>
      <c r="G10" s="21">
        <v>362695</v>
      </c>
    </row>
    <row r="11" spans="1:7" x14ac:dyDescent="0.3">
      <c r="A11" s="27" t="s">
        <v>87</v>
      </c>
      <c r="B11" s="45">
        <v>502604</v>
      </c>
      <c r="C11" s="45">
        <v>760824</v>
      </c>
      <c r="D11" s="45">
        <v>394866</v>
      </c>
      <c r="E11" s="45">
        <v>717512</v>
      </c>
      <c r="F11" s="45">
        <v>263623</v>
      </c>
      <c r="G11" s="45">
        <v>2639429</v>
      </c>
    </row>
    <row r="43" spans="5:5" x14ac:dyDescent="0.3">
      <c r="E43" s="62"/>
    </row>
  </sheetData>
  <conditionalFormatting pivot="1" sqref="B5:G11">
    <cfRule type="cellIs" dxfId="141" priority="2" operator="between">
      <formula>100000</formula>
      <formula>250000</formula>
    </cfRule>
  </conditionalFormatting>
  <conditionalFormatting sqref="E43">
    <cfRule type="cellIs" dxfId="140" priority="1" operator="between">
      <formula>100000</formula>
      <formula>250000</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56585-F8EF-4C31-8568-E38D9FF5A7A7}">
  <sheetPr>
    <tabColor rgb="FFFFFF66"/>
  </sheetPr>
  <dimension ref="A1:G11"/>
  <sheetViews>
    <sheetView workbookViewId="0">
      <selection activeCell="L17" sqref="L17"/>
    </sheetView>
  </sheetViews>
  <sheetFormatPr defaultRowHeight="14.4" x14ac:dyDescent="0.3"/>
  <cols>
    <col min="1" max="1" width="14.44140625" bestFit="1" customWidth="1"/>
    <col min="2" max="2" width="42.6640625" bestFit="1" customWidth="1"/>
    <col min="3" max="6" width="13.21875" bestFit="1" customWidth="1"/>
  </cols>
  <sheetData>
    <row r="1" spans="1:7" ht="18.600000000000001" thickBot="1" x14ac:dyDescent="0.4">
      <c r="B1" s="25" t="s">
        <v>103</v>
      </c>
    </row>
    <row r="2" spans="1:7" ht="15" thickBot="1" x14ac:dyDescent="0.35">
      <c r="B2" s="26" t="s">
        <v>101</v>
      </c>
    </row>
    <row r="3" spans="1:7" x14ac:dyDescent="0.3">
      <c r="A3" s="29" t="s">
        <v>95</v>
      </c>
      <c r="B3" s="60"/>
      <c r="C3" s="60" t="s">
        <v>3</v>
      </c>
      <c r="D3" s="60"/>
      <c r="E3" s="29"/>
    </row>
    <row r="4" spans="1:7" x14ac:dyDescent="0.3">
      <c r="A4" s="31" t="s">
        <v>97</v>
      </c>
      <c r="B4" s="58" t="s">
        <v>98</v>
      </c>
      <c r="C4" s="61" t="s">
        <v>9</v>
      </c>
      <c r="D4" s="61" t="s">
        <v>6</v>
      </c>
      <c r="E4" s="28" t="s">
        <v>100</v>
      </c>
    </row>
    <row r="5" spans="1:7" x14ac:dyDescent="0.3">
      <c r="A5" s="78" t="s">
        <v>96</v>
      </c>
      <c r="B5" s="23" t="s">
        <v>88</v>
      </c>
      <c r="C5" s="20">
        <v>330551</v>
      </c>
      <c r="D5" s="20">
        <v>606695</v>
      </c>
      <c r="E5" s="24">
        <f>D5-C5</f>
        <v>276144</v>
      </c>
      <c r="G5" s="24"/>
    </row>
    <row r="6" spans="1:7" x14ac:dyDescent="0.3">
      <c r="A6" s="79"/>
      <c r="B6" s="23" t="s">
        <v>89</v>
      </c>
      <c r="C6" s="20">
        <v>482085</v>
      </c>
      <c r="D6" s="20">
        <v>394295</v>
      </c>
      <c r="E6" s="24">
        <f t="shared" ref="E6:E11" si="0">D6-C6</f>
        <v>-87790</v>
      </c>
    </row>
    <row r="7" spans="1:7" x14ac:dyDescent="0.3">
      <c r="A7" s="79"/>
      <c r="B7" s="23" t="s">
        <v>90</v>
      </c>
      <c r="C7" s="20">
        <v>351649</v>
      </c>
      <c r="D7" s="20">
        <v>454591</v>
      </c>
      <c r="E7" s="24">
        <f t="shared" si="0"/>
        <v>102942</v>
      </c>
    </row>
    <row r="8" spans="1:7" x14ac:dyDescent="0.3">
      <c r="A8" s="79"/>
      <c r="B8" s="23" t="s">
        <v>91</v>
      </c>
      <c r="C8" s="20">
        <v>462661</v>
      </c>
      <c r="D8" s="20">
        <v>475543</v>
      </c>
      <c r="E8" s="24">
        <f t="shared" si="0"/>
        <v>12882</v>
      </c>
    </row>
    <row r="9" spans="1:7" x14ac:dyDescent="0.3">
      <c r="A9" s="79"/>
      <c r="B9" s="23" t="s">
        <v>92</v>
      </c>
      <c r="C9" s="20">
        <v>374712</v>
      </c>
      <c r="D9" s="20">
        <v>345610</v>
      </c>
      <c r="E9" s="24">
        <f t="shared" si="0"/>
        <v>-29102</v>
      </c>
    </row>
    <row r="10" spans="1:7" x14ac:dyDescent="0.3">
      <c r="A10" s="79"/>
      <c r="B10" s="23" t="s">
        <v>93</v>
      </c>
      <c r="C10" s="20">
        <v>486210</v>
      </c>
      <c r="D10" s="20">
        <v>362695</v>
      </c>
      <c r="E10" s="24">
        <f t="shared" si="0"/>
        <v>-123515</v>
      </c>
    </row>
    <row r="11" spans="1:7" x14ac:dyDescent="0.3">
      <c r="A11" s="80" t="s">
        <v>99</v>
      </c>
      <c r="B11" s="81"/>
      <c r="C11" s="59">
        <v>2487868</v>
      </c>
      <c r="D11" s="59">
        <v>2639429</v>
      </c>
      <c r="E11" s="30">
        <f t="shared" si="0"/>
        <v>151561</v>
      </c>
    </row>
  </sheetData>
  <mergeCells count="2">
    <mergeCell ref="A5:A10"/>
    <mergeCell ref="A11:B11"/>
  </mergeCells>
  <conditionalFormatting sqref="E5:E10">
    <cfRule type="cellIs" dxfId="80" priority="3" operator="lessThan">
      <formula>0</formula>
    </cfRule>
  </conditionalFormatting>
  <conditionalFormatting sqref="G5">
    <cfRule type="cellIs" dxfId="79" priority="2" operator="lessThan">
      <formula>0</formula>
    </cfRule>
  </conditionalFormatting>
  <conditionalFormatting sqref="E5:E10">
    <cfRule type="cellIs" dxfId="78" priority="1" operator="greaterThan">
      <formula>0</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83F77-A714-483F-A96C-8E920C166B6C}">
  <sheetPr>
    <tabColor rgb="FFFF3399"/>
  </sheetPr>
  <dimension ref="A1:B13"/>
  <sheetViews>
    <sheetView workbookViewId="0">
      <selection activeCell="I12" sqref="I12"/>
    </sheetView>
  </sheetViews>
  <sheetFormatPr defaultRowHeight="14.4" x14ac:dyDescent="0.3"/>
  <cols>
    <col min="1" max="1" width="17.6640625" bestFit="1" customWidth="1"/>
    <col min="2" max="2" width="18.21875" bestFit="1" customWidth="1"/>
    <col min="3" max="4" width="12.6640625" bestFit="1" customWidth="1"/>
    <col min="7" max="7" width="7.6640625" bestFit="1" customWidth="1"/>
    <col min="8" max="8" width="12.6640625" bestFit="1" customWidth="1"/>
  </cols>
  <sheetData>
    <row r="1" spans="1:2" x14ac:dyDescent="0.3">
      <c r="A1" s="15" t="s">
        <v>84</v>
      </c>
      <c r="B1" t="s">
        <v>85</v>
      </c>
    </row>
    <row r="2" spans="1:2" x14ac:dyDescent="0.3">
      <c r="A2" s="13" t="s">
        <v>7</v>
      </c>
      <c r="B2" t="s">
        <v>10</v>
      </c>
    </row>
    <row r="3" spans="1:2" x14ac:dyDescent="0.3">
      <c r="A3" s="14" t="s">
        <v>12</v>
      </c>
      <c r="B3" t="s">
        <v>16</v>
      </c>
    </row>
    <row r="4" spans="1:2" x14ac:dyDescent="0.3">
      <c r="A4" s="13" t="s">
        <v>14</v>
      </c>
      <c r="B4" t="s">
        <v>19</v>
      </c>
    </row>
    <row r="5" spans="1:2" x14ac:dyDescent="0.3">
      <c r="A5" s="14" t="s">
        <v>24</v>
      </c>
      <c r="B5" t="s">
        <v>21</v>
      </c>
    </row>
    <row r="6" spans="1:2" x14ac:dyDescent="0.3">
      <c r="A6" s="13" t="s">
        <v>61</v>
      </c>
      <c r="B6" t="s">
        <v>26</v>
      </c>
    </row>
    <row r="7" spans="1:2" x14ac:dyDescent="0.3">
      <c r="B7" t="s">
        <v>28</v>
      </c>
    </row>
    <row r="8" spans="1:2" x14ac:dyDescent="0.3">
      <c r="B8" t="s">
        <v>33</v>
      </c>
    </row>
    <row r="9" spans="1:2" x14ac:dyDescent="0.3">
      <c r="B9" t="s">
        <v>36</v>
      </c>
    </row>
    <row r="10" spans="1:2" x14ac:dyDescent="0.3">
      <c r="B10" t="s">
        <v>39</v>
      </c>
    </row>
    <row r="11" spans="1:2" x14ac:dyDescent="0.3">
      <c r="B11" t="s">
        <v>46</v>
      </c>
    </row>
    <row r="12" spans="1:2" x14ac:dyDescent="0.3">
      <c r="B12" t="s">
        <v>52</v>
      </c>
    </row>
    <row r="13" spans="1:2" x14ac:dyDescent="0.3">
      <c r="B13" t="s">
        <v>54</v>
      </c>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5BFC9-6CB4-4860-8957-754B85790A84}">
  <sheetPr codeName="Sheet1">
    <tabColor rgb="FFFF6600"/>
  </sheetPr>
  <dimension ref="A1:E251"/>
  <sheetViews>
    <sheetView workbookViewId="0">
      <selection activeCell="D22" sqref="D22"/>
    </sheetView>
  </sheetViews>
  <sheetFormatPr defaultRowHeight="14.4" x14ac:dyDescent="0.3"/>
  <cols>
    <col min="1" max="1" width="10.33203125" bestFit="1" customWidth="1"/>
    <col min="2" max="2" width="7.6640625" bestFit="1" customWidth="1"/>
    <col min="3" max="3" width="12.6640625" bestFit="1" customWidth="1"/>
    <col min="4" max="4" width="14.77734375" bestFit="1" customWidth="1"/>
    <col min="5" max="5" width="10.44140625" bestFit="1" customWidth="1"/>
  </cols>
  <sheetData>
    <row r="1" spans="1:5" x14ac:dyDescent="0.3">
      <c r="A1" t="s">
        <v>0</v>
      </c>
      <c r="B1" t="s">
        <v>3</v>
      </c>
      <c r="C1" t="s">
        <v>4</v>
      </c>
      <c r="D1" t="s">
        <v>2</v>
      </c>
      <c r="E1" s="20" t="s">
        <v>1</v>
      </c>
    </row>
    <row r="2" spans="1:5" x14ac:dyDescent="0.3">
      <c r="A2" s="9">
        <v>45815</v>
      </c>
      <c r="B2" t="s">
        <v>9</v>
      </c>
      <c r="C2" t="s">
        <v>10</v>
      </c>
      <c r="D2" t="s">
        <v>8</v>
      </c>
      <c r="E2" s="20">
        <v>2941</v>
      </c>
    </row>
    <row r="3" spans="1:5" x14ac:dyDescent="0.3">
      <c r="A3" s="9">
        <v>45826</v>
      </c>
      <c r="B3" t="s">
        <v>9</v>
      </c>
      <c r="C3" t="s">
        <v>16</v>
      </c>
      <c r="D3" t="s">
        <v>15</v>
      </c>
      <c r="E3" s="20">
        <v>9800</v>
      </c>
    </row>
    <row r="4" spans="1:5" x14ac:dyDescent="0.3">
      <c r="A4" s="9">
        <v>45723</v>
      </c>
      <c r="B4" t="s">
        <v>9</v>
      </c>
      <c r="C4" t="s">
        <v>19</v>
      </c>
      <c r="D4" t="s">
        <v>18</v>
      </c>
      <c r="E4" s="20">
        <v>3341</v>
      </c>
    </row>
    <row r="5" spans="1:5" x14ac:dyDescent="0.3">
      <c r="A5" s="9">
        <v>45822</v>
      </c>
      <c r="B5" t="s">
        <v>9</v>
      </c>
      <c r="C5" t="s">
        <v>21</v>
      </c>
      <c r="D5" t="s">
        <v>20</v>
      </c>
      <c r="E5" s="20">
        <v>17385</v>
      </c>
    </row>
    <row r="6" spans="1:5" x14ac:dyDescent="0.3">
      <c r="A6" s="9">
        <v>45689</v>
      </c>
      <c r="B6" t="s">
        <v>9</v>
      </c>
      <c r="C6" t="s">
        <v>16</v>
      </c>
      <c r="D6" t="s">
        <v>22</v>
      </c>
      <c r="E6" s="20">
        <v>8257</v>
      </c>
    </row>
    <row r="7" spans="1:5" x14ac:dyDescent="0.3">
      <c r="A7" s="9">
        <v>45731</v>
      </c>
      <c r="B7" t="s">
        <v>9</v>
      </c>
      <c r="C7" t="s">
        <v>16</v>
      </c>
      <c r="D7" t="s">
        <v>15</v>
      </c>
      <c r="E7" s="20">
        <v>6142</v>
      </c>
    </row>
    <row r="8" spans="1:5" x14ac:dyDescent="0.3">
      <c r="A8" s="9">
        <v>45781</v>
      </c>
      <c r="B8" t="s">
        <v>9</v>
      </c>
      <c r="C8" t="s">
        <v>26</v>
      </c>
      <c r="D8" t="s">
        <v>25</v>
      </c>
      <c r="E8" s="20">
        <v>8150</v>
      </c>
    </row>
    <row r="9" spans="1:5" x14ac:dyDescent="0.3">
      <c r="A9" s="9">
        <v>45662</v>
      </c>
      <c r="B9" t="s">
        <v>9</v>
      </c>
      <c r="C9" t="s">
        <v>28</v>
      </c>
      <c r="D9" t="s">
        <v>27</v>
      </c>
      <c r="E9" s="20">
        <v>11242</v>
      </c>
    </row>
    <row r="10" spans="1:5" x14ac:dyDescent="0.3">
      <c r="A10" s="9">
        <v>45730</v>
      </c>
      <c r="B10" t="s">
        <v>9</v>
      </c>
      <c r="C10" t="s">
        <v>26</v>
      </c>
      <c r="D10" t="s">
        <v>30</v>
      </c>
      <c r="E10" s="20">
        <v>18810</v>
      </c>
    </row>
    <row r="11" spans="1:5" x14ac:dyDescent="0.3">
      <c r="A11" s="9">
        <v>45726</v>
      </c>
      <c r="B11" t="s">
        <v>9</v>
      </c>
      <c r="C11" t="s">
        <v>26</v>
      </c>
      <c r="D11" t="s">
        <v>31</v>
      </c>
      <c r="E11" s="20">
        <v>6035</v>
      </c>
    </row>
    <row r="12" spans="1:5" x14ac:dyDescent="0.3">
      <c r="A12" s="9">
        <v>45760</v>
      </c>
      <c r="B12" t="s">
        <v>9</v>
      </c>
      <c r="C12" t="s">
        <v>33</v>
      </c>
      <c r="D12" t="s">
        <v>32</v>
      </c>
      <c r="E12" s="20">
        <v>19162</v>
      </c>
    </row>
    <row r="13" spans="1:5" x14ac:dyDescent="0.3">
      <c r="A13" s="9">
        <v>45762</v>
      </c>
      <c r="B13" t="s">
        <v>9</v>
      </c>
      <c r="C13" t="s">
        <v>19</v>
      </c>
      <c r="D13" t="s">
        <v>34</v>
      </c>
      <c r="E13" s="20">
        <v>10158</v>
      </c>
    </row>
    <row r="14" spans="1:5" x14ac:dyDescent="0.3">
      <c r="A14" s="9">
        <v>45678</v>
      </c>
      <c r="B14" t="s">
        <v>9</v>
      </c>
      <c r="C14" t="s">
        <v>19</v>
      </c>
      <c r="D14" t="s">
        <v>34</v>
      </c>
      <c r="E14" s="20">
        <v>15743</v>
      </c>
    </row>
    <row r="15" spans="1:5" x14ac:dyDescent="0.3">
      <c r="A15" s="9">
        <v>45819</v>
      </c>
      <c r="B15" t="s">
        <v>9</v>
      </c>
      <c r="C15" t="s">
        <v>36</v>
      </c>
      <c r="D15" t="s">
        <v>35</v>
      </c>
      <c r="E15" s="20">
        <v>10471</v>
      </c>
    </row>
    <row r="16" spans="1:5" x14ac:dyDescent="0.3">
      <c r="A16" s="9">
        <v>45794</v>
      </c>
      <c r="B16" t="s">
        <v>9</v>
      </c>
      <c r="C16" t="s">
        <v>33</v>
      </c>
      <c r="D16" t="s">
        <v>37</v>
      </c>
      <c r="E16" s="20">
        <v>14619</v>
      </c>
    </row>
    <row r="17" spans="1:5" x14ac:dyDescent="0.3">
      <c r="A17" s="9">
        <v>45687</v>
      </c>
      <c r="B17" t="s">
        <v>9</v>
      </c>
      <c r="C17" t="s">
        <v>19</v>
      </c>
      <c r="D17" t="s">
        <v>18</v>
      </c>
      <c r="E17" s="20">
        <v>17757</v>
      </c>
    </row>
    <row r="18" spans="1:5" x14ac:dyDescent="0.3">
      <c r="A18" s="9">
        <v>45775</v>
      </c>
      <c r="B18" t="s">
        <v>9</v>
      </c>
      <c r="C18" t="s">
        <v>39</v>
      </c>
      <c r="D18" t="s">
        <v>38</v>
      </c>
      <c r="E18" s="20">
        <v>885</v>
      </c>
    </row>
    <row r="19" spans="1:5" x14ac:dyDescent="0.3">
      <c r="A19" s="9">
        <v>45811</v>
      </c>
      <c r="B19" t="s">
        <v>9</v>
      </c>
      <c r="C19" t="s">
        <v>33</v>
      </c>
      <c r="D19" t="s">
        <v>40</v>
      </c>
      <c r="E19" s="20">
        <v>15602</v>
      </c>
    </row>
    <row r="20" spans="1:5" x14ac:dyDescent="0.3">
      <c r="A20" s="9">
        <v>45704</v>
      </c>
      <c r="B20" t="s">
        <v>9</v>
      </c>
      <c r="C20" t="s">
        <v>21</v>
      </c>
      <c r="D20" t="s">
        <v>41</v>
      </c>
      <c r="E20" s="20">
        <v>4947</v>
      </c>
    </row>
    <row r="21" spans="1:5" x14ac:dyDescent="0.3">
      <c r="A21" s="9">
        <v>45672</v>
      </c>
      <c r="B21" t="s">
        <v>9</v>
      </c>
      <c r="C21" t="s">
        <v>16</v>
      </c>
      <c r="D21" t="s">
        <v>42</v>
      </c>
      <c r="E21" s="20">
        <v>19730</v>
      </c>
    </row>
    <row r="22" spans="1:5" x14ac:dyDescent="0.3">
      <c r="A22" s="9">
        <v>45711</v>
      </c>
      <c r="B22" t="s">
        <v>9</v>
      </c>
      <c r="C22" t="s">
        <v>19</v>
      </c>
      <c r="D22" t="s">
        <v>18</v>
      </c>
      <c r="E22" s="20">
        <v>6119</v>
      </c>
    </row>
    <row r="23" spans="1:5" x14ac:dyDescent="0.3">
      <c r="A23" s="9">
        <v>45712</v>
      </c>
      <c r="B23" t="s">
        <v>9</v>
      </c>
      <c r="C23" t="s">
        <v>39</v>
      </c>
      <c r="D23" t="s">
        <v>43</v>
      </c>
      <c r="E23" s="20">
        <v>13029</v>
      </c>
    </row>
    <row r="24" spans="1:5" x14ac:dyDescent="0.3">
      <c r="A24" s="9">
        <v>45743</v>
      </c>
      <c r="B24" t="s">
        <v>9</v>
      </c>
      <c r="C24" t="s">
        <v>16</v>
      </c>
      <c r="D24" t="s">
        <v>22</v>
      </c>
      <c r="E24" s="20">
        <v>1628</v>
      </c>
    </row>
    <row r="25" spans="1:5" x14ac:dyDescent="0.3">
      <c r="A25" s="9">
        <v>45734</v>
      </c>
      <c r="B25" t="s">
        <v>9</v>
      </c>
      <c r="C25" t="s">
        <v>10</v>
      </c>
      <c r="D25" t="s">
        <v>8</v>
      </c>
      <c r="E25" s="20">
        <v>719</v>
      </c>
    </row>
    <row r="26" spans="1:5" x14ac:dyDescent="0.3">
      <c r="A26" s="9">
        <v>45803</v>
      </c>
      <c r="B26" t="s">
        <v>9</v>
      </c>
      <c r="C26" t="s">
        <v>46</v>
      </c>
      <c r="D26" t="s">
        <v>45</v>
      </c>
      <c r="E26" s="20">
        <v>408</v>
      </c>
    </row>
    <row r="27" spans="1:5" x14ac:dyDescent="0.3">
      <c r="A27" s="9">
        <v>45685</v>
      </c>
      <c r="B27" t="s">
        <v>9</v>
      </c>
      <c r="C27" t="s">
        <v>10</v>
      </c>
      <c r="D27" t="s">
        <v>47</v>
      </c>
      <c r="E27" s="20">
        <v>8300</v>
      </c>
    </row>
    <row r="28" spans="1:5" x14ac:dyDescent="0.3">
      <c r="A28" s="9">
        <v>45713</v>
      </c>
      <c r="B28" t="s">
        <v>9</v>
      </c>
      <c r="C28" t="s">
        <v>16</v>
      </c>
      <c r="D28" t="s">
        <v>42</v>
      </c>
      <c r="E28" s="20">
        <v>19575</v>
      </c>
    </row>
    <row r="29" spans="1:5" x14ac:dyDescent="0.3">
      <c r="A29" s="9">
        <v>45741</v>
      </c>
      <c r="B29" t="s">
        <v>9</v>
      </c>
      <c r="C29" t="s">
        <v>46</v>
      </c>
      <c r="D29" t="s">
        <v>48</v>
      </c>
      <c r="E29" s="20">
        <v>3099</v>
      </c>
    </row>
    <row r="30" spans="1:5" x14ac:dyDescent="0.3">
      <c r="A30" s="9">
        <v>45717</v>
      </c>
      <c r="B30" t="s">
        <v>9</v>
      </c>
      <c r="C30" t="s">
        <v>39</v>
      </c>
      <c r="D30" t="s">
        <v>49</v>
      </c>
      <c r="E30" s="20">
        <v>1403</v>
      </c>
    </row>
    <row r="31" spans="1:5" x14ac:dyDescent="0.3">
      <c r="A31" s="9">
        <v>45701</v>
      </c>
      <c r="B31" t="s">
        <v>9</v>
      </c>
      <c r="C31" t="s">
        <v>19</v>
      </c>
      <c r="D31" t="s">
        <v>34</v>
      </c>
      <c r="E31" s="20">
        <v>14987</v>
      </c>
    </row>
    <row r="32" spans="1:5" x14ac:dyDescent="0.3">
      <c r="A32" s="9">
        <v>45720</v>
      </c>
      <c r="B32" t="s">
        <v>9</v>
      </c>
      <c r="C32" t="s">
        <v>52</v>
      </c>
      <c r="D32" t="s">
        <v>51</v>
      </c>
      <c r="E32" s="20">
        <v>16968</v>
      </c>
    </row>
    <row r="33" spans="1:5" x14ac:dyDescent="0.3">
      <c r="A33" s="9">
        <v>45709</v>
      </c>
      <c r="B33" t="s">
        <v>9</v>
      </c>
      <c r="C33" t="s">
        <v>54</v>
      </c>
      <c r="D33" t="s">
        <v>53</v>
      </c>
      <c r="E33" s="20">
        <v>5273</v>
      </c>
    </row>
    <row r="34" spans="1:5" x14ac:dyDescent="0.3">
      <c r="A34" s="9">
        <v>45695</v>
      </c>
      <c r="B34" t="s">
        <v>9</v>
      </c>
      <c r="C34" t="s">
        <v>39</v>
      </c>
      <c r="D34" t="s">
        <v>49</v>
      </c>
      <c r="E34" s="20">
        <v>14750</v>
      </c>
    </row>
    <row r="35" spans="1:5" x14ac:dyDescent="0.3">
      <c r="A35" s="9">
        <v>45693</v>
      </c>
      <c r="B35" t="s">
        <v>9</v>
      </c>
      <c r="C35" t="s">
        <v>10</v>
      </c>
      <c r="D35" t="s">
        <v>55</v>
      </c>
      <c r="E35" s="20">
        <v>12400</v>
      </c>
    </row>
    <row r="36" spans="1:5" x14ac:dyDescent="0.3">
      <c r="A36" s="9">
        <v>45799</v>
      </c>
      <c r="B36" t="s">
        <v>9</v>
      </c>
      <c r="C36" t="s">
        <v>39</v>
      </c>
      <c r="D36" t="s">
        <v>43</v>
      </c>
      <c r="E36" s="20">
        <v>12706</v>
      </c>
    </row>
    <row r="37" spans="1:5" x14ac:dyDescent="0.3">
      <c r="A37" s="9">
        <v>45788</v>
      </c>
      <c r="B37" t="s">
        <v>9</v>
      </c>
      <c r="C37" t="s">
        <v>54</v>
      </c>
      <c r="D37" t="s">
        <v>56</v>
      </c>
      <c r="E37" s="20">
        <v>11704</v>
      </c>
    </row>
    <row r="38" spans="1:5" x14ac:dyDescent="0.3">
      <c r="A38" s="9">
        <v>45759</v>
      </c>
      <c r="B38" t="s">
        <v>9</v>
      </c>
      <c r="C38" t="s">
        <v>52</v>
      </c>
      <c r="D38" t="s">
        <v>57</v>
      </c>
      <c r="E38" s="20">
        <v>18182</v>
      </c>
    </row>
    <row r="39" spans="1:5" x14ac:dyDescent="0.3">
      <c r="A39" s="9">
        <v>45820</v>
      </c>
      <c r="B39" t="s">
        <v>9</v>
      </c>
      <c r="C39" t="s">
        <v>16</v>
      </c>
      <c r="D39" t="s">
        <v>22</v>
      </c>
      <c r="E39" s="20">
        <v>5622</v>
      </c>
    </row>
    <row r="40" spans="1:5" x14ac:dyDescent="0.3">
      <c r="A40" s="9">
        <v>45752</v>
      </c>
      <c r="B40" t="s">
        <v>9</v>
      </c>
      <c r="C40" t="s">
        <v>46</v>
      </c>
      <c r="D40" t="s">
        <v>58</v>
      </c>
      <c r="E40" s="20">
        <v>783</v>
      </c>
    </row>
    <row r="41" spans="1:5" x14ac:dyDescent="0.3">
      <c r="A41" s="9">
        <v>45679</v>
      </c>
      <c r="B41" t="s">
        <v>9</v>
      </c>
      <c r="C41" t="s">
        <v>21</v>
      </c>
      <c r="D41" t="s">
        <v>59</v>
      </c>
      <c r="E41" s="20">
        <v>1062</v>
      </c>
    </row>
    <row r="42" spans="1:5" x14ac:dyDescent="0.3">
      <c r="A42" s="9">
        <v>45754</v>
      </c>
      <c r="B42" t="s">
        <v>9</v>
      </c>
      <c r="C42" t="s">
        <v>52</v>
      </c>
      <c r="D42" t="s">
        <v>62</v>
      </c>
      <c r="E42" s="20">
        <v>2768</v>
      </c>
    </row>
    <row r="43" spans="1:5" x14ac:dyDescent="0.3">
      <c r="A43" s="9">
        <v>45832</v>
      </c>
      <c r="B43" t="s">
        <v>9</v>
      </c>
      <c r="C43" t="s">
        <v>16</v>
      </c>
      <c r="D43" t="s">
        <v>15</v>
      </c>
      <c r="E43" s="20">
        <v>19345</v>
      </c>
    </row>
    <row r="44" spans="1:5" x14ac:dyDescent="0.3">
      <c r="A44" s="9">
        <v>45786</v>
      </c>
      <c r="B44" t="s">
        <v>9</v>
      </c>
      <c r="C44" t="s">
        <v>26</v>
      </c>
      <c r="D44" t="s">
        <v>30</v>
      </c>
      <c r="E44" s="20">
        <v>7170</v>
      </c>
    </row>
    <row r="45" spans="1:5" x14ac:dyDescent="0.3">
      <c r="A45" s="9">
        <v>45830</v>
      </c>
      <c r="B45" t="s">
        <v>9</v>
      </c>
      <c r="C45" t="s">
        <v>26</v>
      </c>
      <c r="D45" t="s">
        <v>31</v>
      </c>
      <c r="E45" s="20">
        <v>11804</v>
      </c>
    </row>
    <row r="46" spans="1:5" x14ac:dyDescent="0.3">
      <c r="A46" s="9">
        <v>45714</v>
      </c>
      <c r="B46" t="s">
        <v>9</v>
      </c>
      <c r="C46" t="s">
        <v>39</v>
      </c>
      <c r="D46" t="s">
        <v>43</v>
      </c>
      <c r="E46" s="20">
        <v>19873</v>
      </c>
    </row>
    <row r="47" spans="1:5" x14ac:dyDescent="0.3">
      <c r="A47" s="9">
        <v>45725</v>
      </c>
      <c r="B47" t="s">
        <v>9</v>
      </c>
      <c r="C47" t="s">
        <v>21</v>
      </c>
      <c r="D47" t="s">
        <v>20</v>
      </c>
      <c r="E47" s="20">
        <v>6264</v>
      </c>
    </row>
    <row r="48" spans="1:5" x14ac:dyDescent="0.3">
      <c r="A48" s="9">
        <v>45830</v>
      </c>
      <c r="B48" t="s">
        <v>9</v>
      </c>
      <c r="C48" t="s">
        <v>52</v>
      </c>
      <c r="D48" t="s">
        <v>62</v>
      </c>
      <c r="E48" s="20">
        <v>14993</v>
      </c>
    </row>
    <row r="49" spans="1:5" x14ac:dyDescent="0.3">
      <c r="A49" s="9">
        <v>45758</v>
      </c>
      <c r="B49" t="s">
        <v>9</v>
      </c>
      <c r="C49" t="s">
        <v>46</v>
      </c>
      <c r="D49" t="s">
        <v>58</v>
      </c>
      <c r="E49" s="20">
        <v>9318</v>
      </c>
    </row>
    <row r="50" spans="1:5" x14ac:dyDescent="0.3">
      <c r="A50" s="9">
        <v>45666</v>
      </c>
      <c r="B50" t="s">
        <v>9</v>
      </c>
      <c r="C50" t="s">
        <v>26</v>
      </c>
      <c r="D50" t="s">
        <v>25</v>
      </c>
      <c r="E50" s="20">
        <v>2965</v>
      </c>
    </row>
    <row r="51" spans="1:5" x14ac:dyDescent="0.3">
      <c r="A51" s="9">
        <v>45709</v>
      </c>
      <c r="B51" t="s">
        <v>9</v>
      </c>
      <c r="C51" t="s">
        <v>39</v>
      </c>
      <c r="D51" t="s">
        <v>38</v>
      </c>
      <c r="E51" s="20">
        <v>18092</v>
      </c>
    </row>
    <row r="52" spans="1:5" x14ac:dyDescent="0.3">
      <c r="A52" s="9">
        <v>45683</v>
      </c>
      <c r="B52" t="s">
        <v>9</v>
      </c>
      <c r="C52" t="s">
        <v>10</v>
      </c>
      <c r="D52" t="s">
        <v>64</v>
      </c>
      <c r="E52" s="20">
        <v>5991</v>
      </c>
    </row>
    <row r="53" spans="1:5" x14ac:dyDescent="0.3">
      <c r="A53" s="9">
        <v>45697</v>
      </c>
      <c r="B53" t="s">
        <v>9</v>
      </c>
      <c r="C53" t="s">
        <v>26</v>
      </c>
      <c r="D53" t="s">
        <v>30</v>
      </c>
      <c r="E53" s="20">
        <v>323</v>
      </c>
    </row>
    <row r="54" spans="1:5" x14ac:dyDescent="0.3">
      <c r="A54" s="9">
        <v>45667</v>
      </c>
      <c r="B54" t="s">
        <v>9</v>
      </c>
      <c r="C54" t="s">
        <v>52</v>
      </c>
      <c r="D54" t="s">
        <v>62</v>
      </c>
      <c r="E54" s="20">
        <v>4215</v>
      </c>
    </row>
    <row r="55" spans="1:5" x14ac:dyDescent="0.3">
      <c r="A55" s="9">
        <v>45837</v>
      </c>
      <c r="B55" t="s">
        <v>9</v>
      </c>
      <c r="C55" t="s">
        <v>39</v>
      </c>
      <c r="D55" t="s">
        <v>38</v>
      </c>
      <c r="E55" s="20">
        <v>3303</v>
      </c>
    </row>
    <row r="56" spans="1:5" x14ac:dyDescent="0.3">
      <c r="A56" s="9">
        <v>45756</v>
      </c>
      <c r="B56" t="s">
        <v>9</v>
      </c>
      <c r="C56" t="s">
        <v>26</v>
      </c>
      <c r="D56" t="s">
        <v>31</v>
      </c>
      <c r="E56" s="20">
        <v>6557</v>
      </c>
    </row>
    <row r="57" spans="1:5" x14ac:dyDescent="0.3">
      <c r="A57" s="9">
        <v>45732</v>
      </c>
      <c r="B57" t="s">
        <v>9</v>
      </c>
      <c r="C57" t="s">
        <v>39</v>
      </c>
      <c r="D57" t="s">
        <v>38</v>
      </c>
      <c r="E57" s="20">
        <v>1702</v>
      </c>
    </row>
    <row r="58" spans="1:5" x14ac:dyDescent="0.3">
      <c r="A58" s="9">
        <v>45700</v>
      </c>
      <c r="B58" t="s">
        <v>9</v>
      </c>
      <c r="C58" t="s">
        <v>36</v>
      </c>
      <c r="D58" t="s">
        <v>66</v>
      </c>
      <c r="E58" s="20">
        <v>7151</v>
      </c>
    </row>
    <row r="59" spans="1:5" x14ac:dyDescent="0.3">
      <c r="A59" s="9">
        <v>45740</v>
      </c>
      <c r="B59" t="s">
        <v>9</v>
      </c>
      <c r="C59" t="s">
        <v>16</v>
      </c>
      <c r="D59" t="s">
        <v>42</v>
      </c>
      <c r="E59" s="20">
        <v>13945</v>
      </c>
    </row>
    <row r="60" spans="1:5" x14ac:dyDescent="0.3">
      <c r="A60" s="9">
        <v>45803</v>
      </c>
      <c r="B60" t="s">
        <v>9</v>
      </c>
      <c r="C60" t="s">
        <v>46</v>
      </c>
      <c r="D60" t="s">
        <v>48</v>
      </c>
      <c r="E60" s="20">
        <v>16658</v>
      </c>
    </row>
    <row r="61" spans="1:5" x14ac:dyDescent="0.3">
      <c r="A61" s="9">
        <v>45802</v>
      </c>
      <c r="B61" t="s">
        <v>9</v>
      </c>
      <c r="C61" t="s">
        <v>52</v>
      </c>
      <c r="D61" t="s">
        <v>51</v>
      </c>
      <c r="E61" s="20">
        <v>14786</v>
      </c>
    </row>
    <row r="62" spans="1:5" x14ac:dyDescent="0.3">
      <c r="A62" s="9">
        <v>45671</v>
      </c>
      <c r="B62" t="s">
        <v>9</v>
      </c>
      <c r="C62" t="s">
        <v>19</v>
      </c>
      <c r="D62" t="s">
        <v>67</v>
      </c>
      <c r="E62" s="20">
        <v>2687</v>
      </c>
    </row>
    <row r="63" spans="1:5" x14ac:dyDescent="0.3">
      <c r="A63" s="9">
        <v>45713</v>
      </c>
      <c r="B63" t="s">
        <v>9</v>
      </c>
      <c r="C63" t="s">
        <v>21</v>
      </c>
      <c r="D63" t="s">
        <v>20</v>
      </c>
      <c r="E63" s="20">
        <v>4976</v>
      </c>
    </row>
    <row r="64" spans="1:5" x14ac:dyDescent="0.3">
      <c r="A64" s="9">
        <v>45695</v>
      </c>
      <c r="B64" t="s">
        <v>9</v>
      </c>
      <c r="C64" t="s">
        <v>46</v>
      </c>
      <c r="D64" t="s">
        <v>58</v>
      </c>
      <c r="E64" s="20">
        <v>18582</v>
      </c>
    </row>
    <row r="65" spans="1:5" x14ac:dyDescent="0.3">
      <c r="A65" s="9">
        <v>45692</v>
      </c>
      <c r="B65" t="s">
        <v>9</v>
      </c>
      <c r="C65" t="s">
        <v>36</v>
      </c>
      <c r="D65" t="s">
        <v>68</v>
      </c>
      <c r="E65" s="20">
        <v>9729</v>
      </c>
    </row>
    <row r="66" spans="1:5" x14ac:dyDescent="0.3">
      <c r="A66" s="9">
        <v>45659</v>
      </c>
      <c r="B66" t="s">
        <v>9</v>
      </c>
      <c r="C66" t="s">
        <v>54</v>
      </c>
      <c r="D66" t="s">
        <v>69</v>
      </c>
      <c r="E66" s="20">
        <v>1914</v>
      </c>
    </row>
    <row r="67" spans="1:5" x14ac:dyDescent="0.3">
      <c r="A67" s="9">
        <v>45791</v>
      </c>
      <c r="B67" t="s">
        <v>9</v>
      </c>
      <c r="C67" t="s">
        <v>19</v>
      </c>
      <c r="D67" t="s">
        <v>18</v>
      </c>
      <c r="E67" s="20">
        <v>14585</v>
      </c>
    </row>
    <row r="68" spans="1:5" x14ac:dyDescent="0.3">
      <c r="A68" s="9">
        <v>45766</v>
      </c>
      <c r="B68" t="s">
        <v>9</v>
      </c>
      <c r="C68" t="s">
        <v>16</v>
      </c>
      <c r="D68" t="s">
        <v>42</v>
      </c>
      <c r="E68" s="20">
        <v>13837</v>
      </c>
    </row>
    <row r="69" spans="1:5" x14ac:dyDescent="0.3">
      <c r="A69" s="9">
        <v>45699</v>
      </c>
      <c r="B69" t="s">
        <v>9</v>
      </c>
      <c r="C69" t="s">
        <v>16</v>
      </c>
      <c r="D69" t="s">
        <v>15</v>
      </c>
      <c r="E69" s="20">
        <v>3005</v>
      </c>
    </row>
    <row r="70" spans="1:5" x14ac:dyDescent="0.3">
      <c r="A70" s="9">
        <v>45810</v>
      </c>
      <c r="B70" t="s">
        <v>9</v>
      </c>
      <c r="C70" t="s">
        <v>21</v>
      </c>
      <c r="D70" t="s">
        <v>59</v>
      </c>
      <c r="E70" s="20">
        <v>10671</v>
      </c>
    </row>
    <row r="71" spans="1:5" x14ac:dyDescent="0.3">
      <c r="A71" s="9">
        <v>45747</v>
      </c>
      <c r="B71" t="s">
        <v>9</v>
      </c>
      <c r="C71" t="s">
        <v>52</v>
      </c>
      <c r="D71" t="s">
        <v>51</v>
      </c>
      <c r="E71" s="20">
        <v>15416</v>
      </c>
    </row>
    <row r="72" spans="1:5" x14ac:dyDescent="0.3">
      <c r="A72" s="9">
        <v>45741</v>
      </c>
      <c r="B72" t="s">
        <v>9</v>
      </c>
      <c r="C72" t="s">
        <v>26</v>
      </c>
      <c r="D72" t="s">
        <v>25</v>
      </c>
      <c r="E72" s="20">
        <v>6951</v>
      </c>
    </row>
    <row r="73" spans="1:5" x14ac:dyDescent="0.3">
      <c r="A73" s="9">
        <v>45706</v>
      </c>
      <c r="B73" t="s">
        <v>9</v>
      </c>
      <c r="C73" t="s">
        <v>46</v>
      </c>
      <c r="D73" t="s">
        <v>45</v>
      </c>
      <c r="E73" s="20">
        <v>10113</v>
      </c>
    </row>
    <row r="74" spans="1:5" x14ac:dyDescent="0.3">
      <c r="A74" s="9">
        <v>45800</v>
      </c>
      <c r="B74" t="s">
        <v>9</v>
      </c>
      <c r="C74" t="s">
        <v>46</v>
      </c>
      <c r="D74" t="s">
        <v>45</v>
      </c>
      <c r="E74" s="20">
        <v>2882</v>
      </c>
    </row>
    <row r="75" spans="1:5" x14ac:dyDescent="0.3">
      <c r="A75" s="9">
        <v>45823</v>
      </c>
      <c r="B75" t="s">
        <v>9</v>
      </c>
      <c r="C75" t="s">
        <v>28</v>
      </c>
      <c r="D75" t="s">
        <v>71</v>
      </c>
      <c r="E75" s="20">
        <v>5488</v>
      </c>
    </row>
    <row r="76" spans="1:5" x14ac:dyDescent="0.3">
      <c r="A76" s="9">
        <v>45683</v>
      </c>
      <c r="B76" t="s">
        <v>9</v>
      </c>
      <c r="C76" t="s">
        <v>21</v>
      </c>
      <c r="D76" t="s">
        <v>59</v>
      </c>
      <c r="E76" s="20">
        <v>15883</v>
      </c>
    </row>
    <row r="77" spans="1:5" x14ac:dyDescent="0.3">
      <c r="A77" s="9">
        <v>45676</v>
      </c>
      <c r="B77" t="s">
        <v>9</v>
      </c>
      <c r="C77" t="s">
        <v>10</v>
      </c>
      <c r="D77" t="s">
        <v>64</v>
      </c>
      <c r="E77" s="20">
        <v>11553</v>
      </c>
    </row>
    <row r="78" spans="1:5" x14ac:dyDescent="0.3">
      <c r="A78" s="9">
        <v>45674</v>
      </c>
      <c r="B78" t="s">
        <v>9</v>
      </c>
      <c r="C78" t="s">
        <v>52</v>
      </c>
      <c r="D78" t="s">
        <v>51</v>
      </c>
      <c r="E78" s="20">
        <v>10040</v>
      </c>
    </row>
    <row r="79" spans="1:5" x14ac:dyDescent="0.3">
      <c r="A79" s="9">
        <v>45719</v>
      </c>
      <c r="B79" t="s">
        <v>9</v>
      </c>
      <c r="C79" t="s">
        <v>54</v>
      </c>
      <c r="D79" t="s">
        <v>72</v>
      </c>
      <c r="E79" s="20">
        <v>14536</v>
      </c>
    </row>
    <row r="80" spans="1:5" x14ac:dyDescent="0.3">
      <c r="A80" s="9">
        <v>45691</v>
      </c>
      <c r="B80" t="s">
        <v>9</v>
      </c>
      <c r="C80" t="s">
        <v>10</v>
      </c>
      <c r="D80" t="s">
        <v>64</v>
      </c>
      <c r="E80" s="20">
        <v>11999</v>
      </c>
    </row>
    <row r="81" spans="1:5" x14ac:dyDescent="0.3">
      <c r="A81" s="9">
        <v>45785</v>
      </c>
      <c r="B81" t="s">
        <v>9</v>
      </c>
      <c r="C81" t="s">
        <v>46</v>
      </c>
      <c r="D81" t="s">
        <v>73</v>
      </c>
      <c r="E81" s="20">
        <v>16821</v>
      </c>
    </row>
    <row r="82" spans="1:5" x14ac:dyDescent="0.3">
      <c r="A82" s="9">
        <v>45823</v>
      </c>
      <c r="B82" t="s">
        <v>9</v>
      </c>
      <c r="C82" t="s">
        <v>26</v>
      </c>
      <c r="D82" t="s">
        <v>31</v>
      </c>
      <c r="E82" s="20">
        <v>8918</v>
      </c>
    </row>
    <row r="83" spans="1:5" x14ac:dyDescent="0.3">
      <c r="A83" s="9">
        <v>45811</v>
      </c>
      <c r="B83" t="s">
        <v>9</v>
      </c>
      <c r="C83" t="s">
        <v>10</v>
      </c>
      <c r="D83" t="s">
        <v>47</v>
      </c>
      <c r="E83" s="20">
        <v>14270</v>
      </c>
    </row>
    <row r="84" spans="1:5" x14ac:dyDescent="0.3">
      <c r="A84" s="9">
        <v>45765</v>
      </c>
      <c r="B84" t="s">
        <v>9</v>
      </c>
      <c r="C84" t="s">
        <v>28</v>
      </c>
      <c r="D84" t="s">
        <v>75</v>
      </c>
      <c r="E84" s="20">
        <v>7375</v>
      </c>
    </row>
    <row r="85" spans="1:5" x14ac:dyDescent="0.3">
      <c r="A85" s="9">
        <v>45819</v>
      </c>
      <c r="B85" t="s">
        <v>9</v>
      </c>
      <c r="C85" t="s">
        <v>16</v>
      </c>
      <c r="D85" t="s">
        <v>22</v>
      </c>
      <c r="E85" s="20">
        <v>9612</v>
      </c>
    </row>
    <row r="86" spans="1:5" x14ac:dyDescent="0.3">
      <c r="A86" s="9">
        <v>45740</v>
      </c>
      <c r="B86" t="s">
        <v>9</v>
      </c>
      <c r="C86" t="s">
        <v>16</v>
      </c>
      <c r="D86" t="s">
        <v>76</v>
      </c>
      <c r="E86" s="20">
        <v>4810</v>
      </c>
    </row>
    <row r="87" spans="1:5" x14ac:dyDescent="0.3">
      <c r="A87" s="9">
        <v>45714</v>
      </c>
      <c r="B87" t="s">
        <v>9</v>
      </c>
      <c r="C87" t="s">
        <v>36</v>
      </c>
      <c r="D87" t="s">
        <v>35</v>
      </c>
      <c r="E87" s="20">
        <v>4836</v>
      </c>
    </row>
    <row r="88" spans="1:5" x14ac:dyDescent="0.3">
      <c r="A88" s="9">
        <v>45739</v>
      </c>
      <c r="B88" t="s">
        <v>9</v>
      </c>
      <c r="C88" t="s">
        <v>10</v>
      </c>
      <c r="D88" t="s">
        <v>55</v>
      </c>
      <c r="E88" s="20">
        <v>4772</v>
      </c>
    </row>
    <row r="89" spans="1:5" x14ac:dyDescent="0.3">
      <c r="A89" s="9">
        <v>45726</v>
      </c>
      <c r="B89" t="s">
        <v>9</v>
      </c>
      <c r="C89" t="s">
        <v>52</v>
      </c>
      <c r="D89" t="s">
        <v>62</v>
      </c>
      <c r="E89" s="20">
        <v>7471</v>
      </c>
    </row>
    <row r="90" spans="1:5" x14ac:dyDescent="0.3">
      <c r="A90" s="9">
        <v>45828</v>
      </c>
      <c r="B90" t="s">
        <v>9</v>
      </c>
      <c r="C90" t="s">
        <v>28</v>
      </c>
      <c r="D90" t="s">
        <v>77</v>
      </c>
      <c r="E90" s="20">
        <v>3554</v>
      </c>
    </row>
    <row r="91" spans="1:5" x14ac:dyDescent="0.3">
      <c r="A91" s="9">
        <v>45744</v>
      </c>
      <c r="B91" t="s">
        <v>9</v>
      </c>
      <c r="C91" t="s">
        <v>54</v>
      </c>
      <c r="D91" t="s">
        <v>56</v>
      </c>
      <c r="E91" s="20">
        <v>13923</v>
      </c>
    </row>
    <row r="92" spans="1:5" x14ac:dyDescent="0.3">
      <c r="A92" s="9">
        <v>45708</v>
      </c>
      <c r="B92" t="s">
        <v>9</v>
      </c>
      <c r="C92" t="s">
        <v>36</v>
      </c>
      <c r="D92" t="s">
        <v>35</v>
      </c>
      <c r="E92" s="20">
        <v>3005</v>
      </c>
    </row>
    <row r="93" spans="1:5" x14ac:dyDescent="0.3">
      <c r="A93" s="9">
        <v>45736</v>
      </c>
      <c r="B93" t="s">
        <v>9</v>
      </c>
      <c r="C93" t="s">
        <v>16</v>
      </c>
      <c r="D93" t="s">
        <v>22</v>
      </c>
      <c r="E93" s="20">
        <v>1979</v>
      </c>
    </row>
    <row r="94" spans="1:5" x14ac:dyDescent="0.3">
      <c r="A94" s="9">
        <v>45687</v>
      </c>
      <c r="B94" t="s">
        <v>9</v>
      </c>
      <c r="C94" t="s">
        <v>21</v>
      </c>
      <c r="D94" t="s">
        <v>59</v>
      </c>
      <c r="E94" s="20">
        <v>3029</v>
      </c>
    </row>
    <row r="95" spans="1:5" x14ac:dyDescent="0.3">
      <c r="A95" s="9">
        <v>45837</v>
      </c>
      <c r="B95" t="s">
        <v>9</v>
      </c>
      <c r="C95" t="s">
        <v>36</v>
      </c>
      <c r="D95" t="s">
        <v>66</v>
      </c>
      <c r="E95" s="20">
        <v>14225</v>
      </c>
    </row>
    <row r="96" spans="1:5" x14ac:dyDescent="0.3">
      <c r="A96" s="9">
        <v>45767</v>
      </c>
      <c r="B96" t="s">
        <v>9</v>
      </c>
      <c r="C96" t="s">
        <v>16</v>
      </c>
      <c r="D96" t="s">
        <v>76</v>
      </c>
      <c r="E96" s="20">
        <v>8176</v>
      </c>
    </row>
    <row r="97" spans="1:5" x14ac:dyDescent="0.3">
      <c r="A97" s="9">
        <v>45762</v>
      </c>
      <c r="B97" t="s">
        <v>9</v>
      </c>
      <c r="C97" t="s">
        <v>16</v>
      </c>
      <c r="D97" t="s">
        <v>22</v>
      </c>
      <c r="E97" s="20">
        <v>9117</v>
      </c>
    </row>
    <row r="98" spans="1:5" x14ac:dyDescent="0.3">
      <c r="A98" s="9">
        <v>45701</v>
      </c>
      <c r="B98" t="s">
        <v>9</v>
      </c>
      <c r="C98" t="s">
        <v>46</v>
      </c>
      <c r="D98" t="s">
        <v>73</v>
      </c>
      <c r="E98" s="20">
        <v>4726</v>
      </c>
    </row>
    <row r="99" spans="1:5" x14ac:dyDescent="0.3">
      <c r="A99" s="9">
        <v>45731</v>
      </c>
      <c r="B99" t="s">
        <v>9</v>
      </c>
      <c r="C99" t="s">
        <v>39</v>
      </c>
      <c r="D99" t="s">
        <v>38</v>
      </c>
      <c r="E99" s="20">
        <v>6505</v>
      </c>
    </row>
    <row r="100" spans="1:5" x14ac:dyDescent="0.3">
      <c r="A100" s="9">
        <v>45820</v>
      </c>
      <c r="B100" t="s">
        <v>9</v>
      </c>
      <c r="C100" t="s">
        <v>33</v>
      </c>
      <c r="D100" t="s">
        <v>79</v>
      </c>
      <c r="E100" s="20">
        <v>12908</v>
      </c>
    </row>
    <row r="101" spans="1:5" x14ac:dyDescent="0.3">
      <c r="A101" s="9">
        <v>45659</v>
      </c>
      <c r="B101" t="s">
        <v>9</v>
      </c>
      <c r="C101" t="s">
        <v>19</v>
      </c>
      <c r="D101" t="s">
        <v>67</v>
      </c>
      <c r="E101" s="20">
        <v>3517</v>
      </c>
    </row>
    <row r="102" spans="1:5" x14ac:dyDescent="0.3">
      <c r="A102" s="9">
        <v>45767</v>
      </c>
      <c r="B102" t="s">
        <v>9</v>
      </c>
      <c r="C102" t="s">
        <v>39</v>
      </c>
      <c r="D102" t="s">
        <v>43</v>
      </c>
      <c r="E102" s="20">
        <v>17978</v>
      </c>
    </row>
    <row r="103" spans="1:5" x14ac:dyDescent="0.3">
      <c r="A103" s="9">
        <v>45753</v>
      </c>
      <c r="B103" t="s">
        <v>9</v>
      </c>
      <c r="C103" t="s">
        <v>21</v>
      </c>
      <c r="D103" t="s">
        <v>59</v>
      </c>
      <c r="E103" s="20">
        <v>13450</v>
      </c>
    </row>
    <row r="104" spans="1:5" x14ac:dyDescent="0.3">
      <c r="A104" s="9">
        <v>45752</v>
      </c>
      <c r="B104" t="s">
        <v>9</v>
      </c>
      <c r="C104" t="s">
        <v>26</v>
      </c>
      <c r="D104" t="s">
        <v>31</v>
      </c>
      <c r="E104" s="20">
        <v>18408</v>
      </c>
    </row>
    <row r="105" spans="1:5" x14ac:dyDescent="0.3">
      <c r="A105" s="9">
        <v>45778</v>
      </c>
      <c r="B105" t="s">
        <v>9</v>
      </c>
      <c r="C105" t="s">
        <v>46</v>
      </c>
      <c r="D105" t="s">
        <v>73</v>
      </c>
      <c r="E105" s="20">
        <v>18560</v>
      </c>
    </row>
    <row r="106" spans="1:5" x14ac:dyDescent="0.3">
      <c r="A106" s="9">
        <v>45723</v>
      </c>
      <c r="B106" t="s">
        <v>9</v>
      </c>
      <c r="C106" t="s">
        <v>19</v>
      </c>
      <c r="D106" t="s">
        <v>18</v>
      </c>
      <c r="E106" s="20">
        <v>11911</v>
      </c>
    </row>
    <row r="107" spans="1:5" x14ac:dyDescent="0.3">
      <c r="A107" s="9">
        <v>45672</v>
      </c>
      <c r="B107" t="s">
        <v>9</v>
      </c>
      <c r="C107" t="s">
        <v>21</v>
      </c>
      <c r="D107" t="s">
        <v>59</v>
      </c>
      <c r="E107" s="20">
        <v>5287</v>
      </c>
    </row>
    <row r="108" spans="1:5" x14ac:dyDescent="0.3">
      <c r="A108" s="9">
        <v>45693</v>
      </c>
      <c r="B108" t="s">
        <v>9</v>
      </c>
      <c r="C108" t="s">
        <v>10</v>
      </c>
      <c r="D108" t="s">
        <v>47</v>
      </c>
      <c r="E108" s="20">
        <v>14060</v>
      </c>
    </row>
    <row r="109" spans="1:5" x14ac:dyDescent="0.3">
      <c r="A109" s="9">
        <v>45783</v>
      </c>
      <c r="B109" t="s">
        <v>9</v>
      </c>
      <c r="C109" t="s">
        <v>28</v>
      </c>
      <c r="D109" t="s">
        <v>71</v>
      </c>
      <c r="E109" s="20">
        <v>7488</v>
      </c>
    </row>
    <row r="110" spans="1:5" x14ac:dyDescent="0.3">
      <c r="A110" s="9">
        <v>45676</v>
      </c>
      <c r="B110" t="s">
        <v>9</v>
      </c>
      <c r="C110" t="s">
        <v>28</v>
      </c>
      <c r="D110" t="s">
        <v>75</v>
      </c>
      <c r="E110" s="20">
        <v>12001</v>
      </c>
    </row>
    <row r="111" spans="1:5" x14ac:dyDescent="0.3">
      <c r="A111" s="9">
        <v>45718</v>
      </c>
      <c r="B111" t="s">
        <v>9</v>
      </c>
      <c r="C111" t="s">
        <v>39</v>
      </c>
      <c r="D111" t="s">
        <v>38</v>
      </c>
      <c r="E111" s="20">
        <v>902</v>
      </c>
    </row>
    <row r="112" spans="1:5" x14ac:dyDescent="0.3">
      <c r="A112" s="9">
        <v>45787</v>
      </c>
      <c r="B112" t="s">
        <v>9</v>
      </c>
      <c r="C112" t="s">
        <v>19</v>
      </c>
      <c r="D112" t="s">
        <v>67</v>
      </c>
      <c r="E112" s="20">
        <v>10492</v>
      </c>
    </row>
    <row r="113" spans="1:5" x14ac:dyDescent="0.3">
      <c r="A113" s="9">
        <v>45775</v>
      </c>
      <c r="B113" t="s">
        <v>9</v>
      </c>
      <c r="C113" t="s">
        <v>21</v>
      </c>
      <c r="D113" t="s">
        <v>59</v>
      </c>
      <c r="E113" s="20">
        <v>14972</v>
      </c>
    </row>
    <row r="114" spans="1:5" x14ac:dyDescent="0.3">
      <c r="A114" s="9">
        <v>45749</v>
      </c>
      <c r="B114" t="s">
        <v>9</v>
      </c>
      <c r="C114" t="s">
        <v>10</v>
      </c>
      <c r="D114" t="s">
        <v>64</v>
      </c>
      <c r="E114" s="20">
        <v>1749</v>
      </c>
    </row>
    <row r="115" spans="1:5" x14ac:dyDescent="0.3">
      <c r="A115" s="9">
        <v>45751</v>
      </c>
      <c r="B115" t="s">
        <v>9</v>
      </c>
      <c r="C115" t="s">
        <v>54</v>
      </c>
      <c r="D115" t="s">
        <v>53</v>
      </c>
      <c r="E115" s="20">
        <v>1193</v>
      </c>
    </row>
    <row r="116" spans="1:5" x14ac:dyDescent="0.3">
      <c r="A116" s="9">
        <v>45805</v>
      </c>
      <c r="B116" t="s">
        <v>9</v>
      </c>
      <c r="C116" t="s">
        <v>16</v>
      </c>
      <c r="D116" t="s">
        <v>22</v>
      </c>
      <c r="E116" s="20">
        <v>7776</v>
      </c>
    </row>
    <row r="117" spans="1:5" x14ac:dyDescent="0.3">
      <c r="A117" s="9">
        <v>45809</v>
      </c>
      <c r="B117" t="s">
        <v>9</v>
      </c>
      <c r="C117" t="s">
        <v>36</v>
      </c>
      <c r="D117" t="s">
        <v>80</v>
      </c>
      <c r="E117" s="20">
        <v>12776</v>
      </c>
    </row>
    <row r="118" spans="1:5" x14ac:dyDescent="0.3">
      <c r="A118" s="9">
        <v>45811</v>
      </c>
      <c r="B118" t="s">
        <v>9</v>
      </c>
      <c r="C118" t="s">
        <v>19</v>
      </c>
      <c r="D118" t="s">
        <v>18</v>
      </c>
      <c r="E118" s="20">
        <v>3197</v>
      </c>
    </row>
    <row r="119" spans="1:5" x14ac:dyDescent="0.3">
      <c r="A119" s="9">
        <v>45827</v>
      </c>
      <c r="B119" t="s">
        <v>9</v>
      </c>
      <c r="C119" t="s">
        <v>46</v>
      </c>
      <c r="D119" t="s">
        <v>73</v>
      </c>
      <c r="E119" s="20">
        <v>6240</v>
      </c>
    </row>
    <row r="120" spans="1:5" x14ac:dyDescent="0.3">
      <c r="A120" s="9">
        <v>45806</v>
      </c>
      <c r="B120" t="s">
        <v>9</v>
      </c>
      <c r="C120" t="s">
        <v>39</v>
      </c>
      <c r="D120" t="s">
        <v>49</v>
      </c>
      <c r="E120" s="20">
        <v>16562</v>
      </c>
    </row>
    <row r="121" spans="1:5" x14ac:dyDescent="0.3">
      <c r="A121" s="9">
        <v>45680</v>
      </c>
      <c r="B121" t="s">
        <v>9</v>
      </c>
      <c r="C121" t="s">
        <v>28</v>
      </c>
      <c r="D121" t="s">
        <v>77</v>
      </c>
      <c r="E121" s="20">
        <v>12079</v>
      </c>
    </row>
    <row r="122" spans="1:5" x14ac:dyDescent="0.3">
      <c r="A122" s="9">
        <v>45680</v>
      </c>
      <c r="B122" t="s">
        <v>9</v>
      </c>
      <c r="C122" t="s">
        <v>21</v>
      </c>
      <c r="D122" t="s">
        <v>59</v>
      </c>
      <c r="E122" s="20">
        <v>16931</v>
      </c>
    </row>
    <row r="123" spans="1:5" x14ac:dyDescent="0.3">
      <c r="A123" s="9">
        <v>45699</v>
      </c>
      <c r="B123" t="s">
        <v>9</v>
      </c>
      <c r="C123" t="s">
        <v>19</v>
      </c>
      <c r="D123" t="s">
        <v>67</v>
      </c>
      <c r="E123" s="20">
        <v>5347</v>
      </c>
    </row>
    <row r="124" spans="1:5" x14ac:dyDescent="0.3">
      <c r="A124" s="9">
        <v>45736</v>
      </c>
      <c r="B124" t="s">
        <v>9</v>
      </c>
      <c r="C124" t="s">
        <v>54</v>
      </c>
      <c r="D124" t="s">
        <v>69</v>
      </c>
      <c r="E124" s="20">
        <v>18382</v>
      </c>
    </row>
    <row r="125" spans="1:5" x14ac:dyDescent="0.3">
      <c r="A125" s="9">
        <v>45753</v>
      </c>
      <c r="B125" t="s">
        <v>9</v>
      </c>
      <c r="C125" t="s">
        <v>36</v>
      </c>
      <c r="D125" t="s">
        <v>68</v>
      </c>
      <c r="E125" s="20">
        <v>7665</v>
      </c>
    </row>
    <row r="126" spans="1:5" x14ac:dyDescent="0.3">
      <c r="A126" s="9">
        <v>45796</v>
      </c>
      <c r="B126" t="s">
        <v>9</v>
      </c>
      <c r="C126" t="s">
        <v>46</v>
      </c>
      <c r="D126" t="s">
        <v>73</v>
      </c>
      <c r="E126" s="20">
        <v>5485</v>
      </c>
    </row>
    <row r="127" spans="1:5" x14ac:dyDescent="0.3">
      <c r="A127" s="9">
        <v>45755</v>
      </c>
      <c r="B127" t="s">
        <v>9</v>
      </c>
      <c r="C127" t="s">
        <v>36</v>
      </c>
      <c r="D127" t="s">
        <v>35</v>
      </c>
      <c r="E127" s="20">
        <v>13589</v>
      </c>
    </row>
    <row r="128" spans="1:5" x14ac:dyDescent="0.3">
      <c r="A128" s="9">
        <v>45749</v>
      </c>
      <c r="B128" t="s">
        <v>9</v>
      </c>
      <c r="C128" t="s">
        <v>46</v>
      </c>
      <c r="D128" t="s">
        <v>73</v>
      </c>
      <c r="E128" s="20">
        <v>5325</v>
      </c>
    </row>
    <row r="129" spans="1:5" x14ac:dyDescent="0.3">
      <c r="A129" s="9">
        <v>45810</v>
      </c>
      <c r="B129" t="s">
        <v>9</v>
      </c>
      <c r="C129" t="s">
        <v>10</v>
      </c>
      <c r="D129" t="s">
        <v>64</v>
      </c>
      <c r="E129" s="20">
        <v>4724</v>
      </c>
    </row>
    <row r="130" spans="1:5" x14ac:dyDescent="0.3">
      <c r="A130" s="9">
        <v>45699</v>
      </c>
      <c r="B130" t="s">
        <v>9</v>
      </c>
      <c r="C130" t="s">
        <v>21</v>
      </c>
      <c r="D130" t="s">
        <v>59</v>
      </c>
      <c r="E130" s="20">
        <v>10991</v>
      </c>
    </row>
    <row r="131" spans="1:5" x14ac:dyDescent="0.3">
      <c r="A131" s="9">
        <v>45704</v>
      </c>
      <c r="B131" t="s">
        <v>9</v>
      </c>
      <c r="C131" t="s">
        <v>19</v>
      </c>
      <c r="D131" t="s">
        <v>18</v>
      </c>
      <c r="E131" s="20">
        <v>15709</v>
      </c>
    </row>
    <row r="132" spans="1:5" x14ac:dyDescent="0.3">
      <c r="A132" s="9">
        <v>45782</v>
      </c>
      <c r="B132" t="s">
        <v>9</v>
      </c>
      <c r="C132" t="s">
        <v>16</v>
      </c>
      <c r="D132" t="s">
        <v>22</v>
      </c>
      <c r="E132" s="20">
        <v>12062</v>
      </c>
    </row>
    <row r="133" spans="1:5" x14ac:dyDescent="0.3">
      <c r="A133" s="9">
        <v>45821</v>
      </c>
      <c r="B133" t="s">
        <v>9</v>
      </c>
      <c r="C133" t="s">
        <v>21</v>
      </c>
      <c r="D133" t="s">
        <v>41</v>
      </c>
      <c r="E133" s="20">
        <v>13598</v>
      </c>
    </row>
    <row r="134" spans="1:5" x14ac:dyDescent="0.3">
      <c r="A134" s="9">
        <v>45701</v>
      </c>
      <c r="B134" t="s">
        <v>9</v>
      </c>
      <c r="C134" t="s">
        <v>16</v>
      </c>
      <c r="D134" t="s">
        <v>22</v>
      </c>
      <c r="E134" s="20">
        <v>687</v>
      </c>
    </row>
    <row r="135" spans="1:5" x14ac:dyDescent="0.3">
      <c r="A135" s="9">
        <v>45775</v>
      </c>
      <c r="B135" t="s">
        <v>9</v>
      </c>
      <c r="C135" t="s">
        <v>36</v>
      </c>
      <c r="D135" t="s">
        <v>68</v>
      </c>
      <c r="E135" s="20">
        <v>14380</v>
      </c>
    </row>
    <row r="136" spans="1:5" x14ac:dyDescent="0.3">
      <c r="A136" s="9">
        <v>45780</v>
      </c>
      <c r="B136" t="s">
        <v>9</v>
      </c>
      <c r="C136" t="s">
        <v>10</v>
      </c>
      <c r="D136" t="s">
        <v>55</v>
      </c>
      <c r="E136" s="20">
        <v>8302</v>
      </c>
    </row>
    <row r="137" spans="1:5" x14ac:dyDescent="0.3">
      <c r="A137" s="9">
        <v>45723</v>
      </c>
      <c r="B137" t="s">
        <v>9</v>
      </c>
      <c r="C137" t="s">
        <v>28</v>
      </c>
      <c r="D137" t="s">
        <v>71</v>
      </c>
      <c r="E137" s="20">
        <v>6603</v>
      </c>
    </row>
    <row r="138" spans="1:5" x14ac:dyDescent="0.3">
      <c r="A138" s="9">
        <v>45688</v>
      </c>
      <c r="B138" t="s">
        <v>9</v>
      </c>
      <c r="C138" t="s">
        <v>39</v>
      </c>
      <c r="D138" t="s">
        <v>49</v>
      </c>
      <c r="E138" s="20">
        <v>14548</v>
      </c>
    </row>
    <row r="139" spans="1:5" x14ac:dyDescent="0.3">
      <c r="A139" s="9">
        <v>45731</v>
      </c>
      <c r="B139" t="s">
        <v>9</v>
      </c>
      <c r="C139" t="s">
        <v>36</v>
      </c>
      <c r="D139" t="s">
        <v>80</v>
      </c>
      <c r="E139" s="20">
        <v>8242</v>
      </c>
    </row>
    <row r="140" spans="1:5" x14ac:dyDescent="0.3">
      <c r="A140" s="9">
        <v>45746</v>
      </c>
      <c r="B140" t="s">
        <v>9</v>
      </c>
      <c r="C140" t="s">
        <v>54</v>
      </c>
      <c r="D140" t="s">
        <v>69</v>
      </c>
      <c r="E140" s="20">
        <v>5238</v>
      </c>
    </row>
    <row r="141" spans="1:5" x14ac:dyDescent="0.3">
      <c r="A141" s="9">
        <v>45798</v>
      </c>
      <c r="B141" t="s">
        <v>9</v>
      </c>
      <c r="C141" t="s">
        <v>52</v>
      </c>
      <c r="D141" t="s">
        <v>62</v>
      </c>
      <c r="E141" s="20">
        <v>14511</v>
      </c>
    </row>
    <row r="142" spans="1:5" x14ac:dyDescent="0.3">
      <c r="A142" s="9">
        <v>45825</v>
      </c>
      <c r="B142" t="s">
        <v>9</v>
      </c>
      <c r="C142" t="s">
        <v>28</v>
      </c>
      <c r="D142" t="s">
        <v>77</v>
      </c>
      <c r="E142" s="20">
        <v>2629</v>
      </c>
    </row>
    <row r="143" spans="1:5" x14ac:dyDescent="0.3">
      <c r="A143" s="9">
        <v>45756</v>
      </c>
      <c r="B143" t="s">
        <v>9</v>
      </c>
      <c r="C143" t="s">
        <v>36</v>
      </c>
      <c r="D143" t="s">
        <v>80</v>
      </c>
      <c r="E143" s="20">
        <v>17120</v>
      </c>
    </row>
    <row r="144" spans="1:5" x14ac:dyDescent="0.3">
      <c r="A144" s="9">
        <v>45835</v>
      </c>
      <c r="B144" t="s">
        <v>9</v>
      </c>
      <c r="C144" t="s">
        <v>28</v>
      </c>
      <c r="D144" t="s">
        <v>75</v>
      </c>
      <c r="E144" s="20">
        <v>10804</v>
      </c>
    </row>
    <row r="145" spans="1:5" x14ac:dyDescent="0.3">
      <c r="A145" s="9">
        <v>45835</v>
      </c>
      <c r="B145" t="s">
        <v>9</v>
      </c>
      <c r="C145" t="s">
        <v>21</v>
      </c>
      <c r="D145" t="s">
        <v>20</v>
      </c>
      <c r="E145" s="20">
        <v>3079</v>
      </c>
    </row>
    <row r="146" spans="1:5" x14ac:dyDescent="0.3">
      <c r="A146" s="9">
        <v>45817</v>
      </c>
      <c r="B146" t="s">
        <v>9</v>
      </c>
      <c r="C146" t="s">
        <v>19</v>
      </c>
      <c r="D146" t="s">
        <v>67</v>
      </c>
      <c r="E146" s="20">
        <v>18548</v>
      </c>
    </row>
    <row r="147" spans="1:5" x14ac:dyDescent="0.3">
      <c r="A147" s="9">
        <v>45749</v>
      </c>
      <c r="B147" t="s">
        <v>9</v>
      </c>
      <c r="C147" t="s">
        <v>19</v>
      </c>
      <c r="D147" t="s">
        <v>18</v>
      </c>
      <c r="E147" s="20">
        <v>16628</v>
      </c>
    </row>
    <row r="148" spans="1:5" x14ac:dyDescent="0.3">
      <c r="A148" s="9">
        <v>45791</v>
      </c>
      <c r="B148" t="s">
        <v>9</v>
      </c>
      <c r="C148" t="s">
        <v>21</v>
      </c>
      <c r="D148" t="s">
        <v>59</v>
      </c>
      <c r="E148" s="20">
        <v>614</v>
      </c>
    </row>
    <row r="149" spans="1:5" x14ac:dyDescent="0.3">
      <c r="A149" s="9">
        <v>45740</v>
      </c>
      <c r="B149" t="s">
        <v>9</v>
      </c>
      <c r="C149" t="s">
        <v>19</v>
      </c>
      <c r="D149" t="s">
        <v>18</v>
      </c>
      <c r="E149" s="20">
        <v>8997</v>
      </c>
    </row>
    <row r="150" spans="1:5" x14ac:dyDescent="0.3">
      <c r="A150" s="9">
        <v>45809</v>
      </c>
      <c r="B150" t="s">
        <v>9</v>
      </c>
      <c r="C150" t="s">
        <v>10</v>
      </c>
      <c r="D150" t="s">
        <v>55</v>
      </c>
      <c r="E150" s="20">
        <v>18749</v>
      </c>
    </row>
    <row r="151" spans="1:5" x14ac:dyDescent="0.3">
      <c r="A151" s="9">
        <v>45718</v>
      </c>
      <c r="B151" t="s">
        <v>9</v>
      </c>
      <c r="C151" t="s">
        <v>33</v>
      </c>
      <c r="D151" t="s">
        <v>37</v>
      </c>
      <c r="E151" s="20">
        <v>8672</v>
      </c>
    </row>
    <row r="152" spans="1:5" x14ac:dyDescent="0.3">
      <c r="A152" s="9">
        <v>45796</v>
      </c>
      <c r="B152" t="s">
        <v>9</v>
      </c>
      <c r="C152" t="s">
        <v>54</v>
      </c>
      <c r="D152" t="s">
        <v>56</v>
      </c>
      <c r="E152" s="20">
        <v>13059</v>
      </c>
    </row>
    <row r="153" spans="1:5" x14ac:dyDescent="0.3">
      <c r="A153" s="9">
        <v>45829</v>
      </c>
      <c r="B153" t="s">
        <v>9</v>
      </c>
      <c r="C153" t="s">
        <v>33</v>
      </c>
      <c r="D153" t="s">
        <v>37</v>
      </c>
      <c r="E153" s="20">
        <v>9132</v>
      </c>
    </row>
    <row r="154" spans="1:5" x14ac:dyDescent="0.3">
      <c r="A154" s="9">
        <v>45683</v>
      </c>
      <c r="B154" t="s">
        <v>9</v>
      </c>
      <c r="C154" t="s">
        <v>39</v>
      </c>
      <c r="D154" t="s">
        <v>49</v>
      </c>
      <c r="E154" s="20">
        <v>10825</v>
      </c>
    </row>
    <row r="155" spans="1:5" x14ac:dyDescent="0.3">
      <c r="A155" s="9">
        <v>45742</v>
      </c>
      <c r="B155" t="s">
        <v>9</v>
      </c>
      <c r="C155" t="s">
        <v>36</v>
      </c>
      <c r="D155" t="s">
        <v>68</v>
      </c>
      <c r="E155" s="20">
        <v>8809</v>
      </c>
    </row>
    <row r="156" spans="1:5" x14ac:dyDescent="0.3">
      <c r="A156" s="9">
        <v>45726</v>
      </c>
      <c r="B156" t="s">
        <v>9</v>
      </c>
      <c r="C156" t="s">
        <v>54</v>
      </c>
      <c r="D156" t="s">
        <v>72</v>
      </c>
      <c r="E156" s="20">
        <v>8246</v>
      </c>
    </row>
    <row r="157" spans="1:5" x14ac:dyDescent="0.3">
      <c r="A157" s="9">
        <v>45674</v>
      </c>
      <c r="B157" t="s">
        <v>9</v>
      </c>
      <c r="C157" t="s">
        <v>36</v>
      </c>
      <c r="D157" t="s">
        <v>80</v>
      </c>
      <c r="E157" s="20">
        <v>2440</v>
      </c>
    </row>
    <row r="158" spans="1:5" x14ac:dyDescent="0.3">
      <c r="A158" s="9">
        <v>45822</v>
      </c>
      <c r="B158" t="s">
        <v>9</v>
      </c>
      <c r="C158" t="s">
        <v>21</v>
      </c>
      <c r="D158" t="s">
        <v>59</v>
      </c>
      <c r="E158" s="20">
        <v>19469</v>
      </c>
    </row>
    <row r="159" spans="1:5" x14ac:dyDescent="0.3">
      <c r="A159" s="9">
        <v>45668</v>
      </c>
      <c r="B159" t="s">
        <v>9</v>
      </c>
      <c r="C159" t="s">
        <v>21</v>
      </c>
      <c r="D159" t="s">
        <v>59</v>
      </c>
      <c r="E159" s="20">
        <v>19303</v>
      </c>
    </row>
    <row r="160" spans="1:5" x14ac:dyDescent="0.3">
      <c r="A160" s="9">
        <v>45693</v>
      </c>
      <c r="B160" t="s">
        <v>9</v>
      </c>
      <c r="C160" t="s">
        <v>19</v>
      </c>
      <c r="D160" t="s">
        <v>34</v>
      </c>
      <c r="E160" s="20">
        <v>7391</v>
      </c>
    </row>
    <row r="161" spans="1:5" x14ac:dyDescent="0.3">
      <c r="A161" s="9">
        <v>45724</v>
      </c>
      <c r="B161" t="s">
        <v>9</v>
      </c>
      <c r="C161" t="s">
        <v>10</v>
      </c>
      <c r="D161" t="s">
        <v>47</v>
      </c>
      <c r="E161" s="20">
        <v>9792</v>
      </c>
    </row>
    <row r="162" spans="1:5" x14ac:dyDescent="0.3">
      <c r="A162" s="9">
        <v>45727</v>
      </c>
      <c r="B162" t="s">
        <v>9</v>
      </c>
      <c r="C162" t="s">
        <v>16</v>
      </c>
      <c r="D162" t="s">
        <v>15</v>
      </c>
      <c r="E162" s="20">
        <v>7827</v>
      </c>
    </row>
    <row r="163" spans="1:5" x14ac:dyDescent="0.3">
      <c r="A163" s="9">
        <v>45827</v>
      </c>
      <c r="B163" t="s">
        <v>9</v>
      </c>
      <c r="C163" t="s">
        <v>33</v>
      </c>
      <c r="D163" t="s">
        <v>40</v>
      </c>
      <c r="E163" s="20">
        <v>13423</v>
      </c>
    </row>
    <row r="164" spans="1:5" x14ac:dyDescent="0.3">
      <c r="A164" s="9">
        <v>45759</v>
      </c>
      <c r="B164" t="s">
        <v>9</v>
      </c>
      <c r="C164" t="s">
        <v>21</v>
      </c>
      <c r="D164" t="s">
        <v>20</v>
      </c>
      <c r="E164" s="20">
        <v>10988</v>
      </c>
    </row>
    <row r="165" spans="1:5" x14ac:dyDescent="0.3">
      <c r="A165" s="9">
        <v>45798</v>
      </c>
      <c r="B165" t="s">
        <v>9</v>
      </c>
      <c r="C165" t="s">
        <v>33</v>
      </c>
      <c r="D165" t="s">
        <v>79</v>
      </c>
      <c r="E165" s="20">
        <v>2135</v>
      </c>
    </row>
    <row r="166" spans="1:5" x14ac:dyDescent="0.3">
      <c r="A166" s="9">
        <v>45837</v>
      </c>
      <c r="B166" t="s">
        <v>9</v>
      </c>
      <c r="C166" t="s">
        <v>36</v>
      </c>
      <c r="D166" t="s">
        <v>66</v>
      </c>
      <c r="E166" s="20">
        <v>17976</v>
      </c>
    </row>
    <row r="167" spans="1:5" x14ac:dyDescent="0.3">
      <c r="A167" s="9">
        <v>45812</v>
      </c>
      <c r="B167" t="s">
        <v>9</v>
      </c>
      <c r="C167" t="s">
        <v>16</v>
      </c>
      <c r="D167" t="s">
        <v>76</v>
      </c>
      <c r="E167" s="20">
        <v>9117</v>
      </c>
    </row>
    <row r="168" spans="1:5" x14ac:dyDescent="0.3">
      <c r="A168" s="9">
        <v>45661</v>
      </c>
      <c r="B168" t="s">
        <v>9</v>
      </c>
      <c r="C168" t="s">
        <v>36</v>
      </c>
      <c r="D168" t="s">
        <v>68</v>
      </c>
      <c r="E168" s="20">
        <v>16441</v>
      </c>
    </row>
    <row r="169" spans="1:5" x14ac:dyDescent="0.3">
      <c r="A169" s="9">
        <v>45779</v>
      </c>
      <c r="B169" t="s">
        <v>9</v>
      </c>
      <c r="C169" t="s">
        <v>39</v>
      </c>
      <c r="D169" t="s">
        <v>38</v>
      </c>
      <c r="E169" s="20">
        <v>17996</v>
      </c>
    </row>
    <row r="170" spans="1:5" x14ac:dyDescent="0.3">
      <c r="A170" s="9">
        <v>45680</v>
      </c>
      <c r="B170" t="s">
        <v>9</v>
      </c>
      <c r="C170" t="s">
        <v>39</v>
      </c>
      <c r="D170" t="s">
        <v>43</v>
      </c>
      <c r="E170" s="20">
        <v>14542</v>
      </c>
    </row>
    <row r="171" spans="1:5" x14ac:dyDescent="0.3">
      <c r="A171" s="9">
        <v>45695</v>
      </c>
      <c r="B171" t="s">
        <v>9</v>
      </c>
      <c r="C171" t="s">
        <v>28</v>
      </c>
      <c r="D171" t="s">
        <v>77</v>
      </c>
      <c r="E171" s="20">
        <v>12824</v>
      </c>
    </row>
    <row r="172" spans="1:5" x14ac:dyDescent="0.3">
      <c r="A172" s="9">
        <v>45702</v>
      </c>
      <c r="B172" t="s">
        <v>9</v>
      </c>
      <c r="C172" t="s">
        <v>54</v>
      </c>
      <c r="D172" t="s">
        <v>56</v>
      </c>
      <c r="E172" s="20">
        <v>5931</v>
      </c>
    </row>
    <row r="173" spans="1:5" x14ac:dyDescent="0.3">
      <c r="A173" s="9">
        <v>45667</v>
      </c>
      <c r="B173" t="s">
        <v>9</v>
      </c>
      <c r="C173" t="s">
        <v>33</v>
      </c>
      <c r="D173" t="s">
        <v>32</v>
      </c>
      <c r="E173" s="20">
        <v>6625</v>
      </c>
    </row>
    <row r="174" spans="1:5" x14ac:dyDescent="0.3">
      <c r="A174" s="9">
        <v>45798</v>
      </c>
      <c r="B174" t="s">
        <v>9</v>
      </c>
      <c r="C174" t="s">
        <v>28</v>
      </c>
      <c r="D174" t="s">
        <v>27</v>
      </c>
      <c r="E174" s="20">
        <v>2561</v>
      </c>
    </row>
    <row r="175" spans="1:5" x14ac:dyDescent="0.3">
      <c r="A175" s="9">
        <v>45692</v>
      </c>
      <c r="B175" t="s">
        <v>9</v>
      </c>
      <c r="C175" t="s">
        <v>16</v>
      </c>
      <c r="D175" t="s">
        <v>15</v>
      </c>
      <c r="E175" s="20">
        <v>4216</v>
      </c>
    </row>
    <row r="176" spans="1:5" x14ac:dyDescent="0.3">
      <c r="A176" s="9">
        <v>45667</v>
      </c>
      <c r="B176" t="s">
        <v>9</v>
      </c>
      <c r="C176" t="s">
        <v>54</v>
      </c>
      <c r="D176" t="s">
        <v>72</v>
      </c>
      <c r="E176" s="20">
        <v>15023</v>
      </c>
    </row>
    <row r="177" spans="1:5" x14ac:dyDescent="0.3">
      <c r="A177" s="9">
        <v>45724</v>
      </c>
      <c r="B177" t="s">
        <v>9</v>
      </c>
      <c r="C177" t="s">
        <v>26</v>
      </c>
      <c r="D177" t="s">
        <v>30</v>
      </c>
      <c r="E177" s="20">
        <v>691</v>
      </c>
    </row>
    <row r="178" spans="1:5" x14ac:dyDescent="0.3">
      <c r="A178" s="9">
        <v>45830</v>
      </c>
      <c r="B178" t="s">
        <v>9</v>
      </c>
      <c r="C178" t="s">
        <v>10</v>
      </c>
      <c r="D178" t="s">
        <v>64</v>
      </c>
      <c r="E178" s="20">
        <v>17504</v>
      </c>
    </row>
    <row r="179" spans="1:5" x14ac:dyDescent="0.3">
      <c r="A179" s="9">
        <v>45718</v>
      </c>
      <c r="B179" t="s">
        <v>9</v>
      </c>
      <c r="C179" t="s">
        <v>54</v>
      </c>
      <c r="D179" t="s">
        <v>69</v>
      </c>
      <c r="E179" s="20">
        <v>5137</v>
      </c>
    </row>
    <row r="180" spans="1:5" x14ac:dyDescent="0.3">
      <c r="A180" s="9">
        <v>45831</v>
      </c>
      <c r="B180" t="s">
        <v>9</v>
      </c>
      <c r="C180" t="s">
        <v>26</v>
      </c>
      <c r="D180" t="s">
        <v>25</v>
      </c>
      <c r="E180" s="20">
        <v>15839</v>
      </c>
    </row>
    <row r="181" spans="1:5" x14ac:dyDescent="0.3">
      <c r="A181" s="9">
        <v>45795</v>
      </c>
      <c r="B181" t="s">
        <v>9</v>
      </c>
      <c r="C181" t="s">
        <v>19</v>
      </c>
      <c r="D181" t="s">
        <v>18</v>
      </c>
      <c r="E181" s="20">
        <v>8146</v>
      </c>
    </row>
    <row r="182" spans="1:5" x14ac:dyDescent="0.3">
      <c r="A182" s="9">
        <v>45673</v>
      </c>
      <c r="B182" t="s">
        <v>9</v>
      </c>
      <c r="C182" t="s">
        <v>46</v>
      </c>
      <c r="D182" t="s">
        <v>48</v>
      </c>
      <c r="E182" s="20">
        <v>10910</v>
      </c>
    </row>
    <row r="183" spans="1:5" x14ac:dyDescent="0.3">
      <c r="A183" s="9">
        <v>45807</v>
      </c>
      <c r="B183" t="s">
        <v>9</v>
      </c>
      <c r="C183" t="s">
        <v>46</v>
      </c>
      <c r="D183" t="s">
        <v>45</v>
      </c>
      <c r="E183" s="20">
        <v>335</v>
      </c>
    </row>
    <row r="184" spans="1:5" x14ac:dyDescent="0.3">
      <c r="A184" s="9">
        <v>45699</v>
      </c>
      <c r="B184" t="s">
        <v>9</v>
      </c>
      <c r="C184" t="s">
        <v>46</v>
      </c>
      <c r="D184" t="s">
        <v>58</v>
      </c>
      <c r="E184" s="20">
        <v>11077</v>
      </c>
    </row>
    <row r="185" spans="1:5" x14ac:dyDescent="0.3">
      <c r="A185" s="9">
        <v>45680</v>
      </c>
      <c r="B185" t="s">
        <v>9</v>
      </c>
      <c r="C185" t="s">
        <v>39</v>
      </c>
      <c r="D185" t="s">
        <v>43</v>
      </c>
      <c r="E185" s="20">
        <v>11773</v>
      </c>
    </row>
    <row r="186" spans="1:5" x14ac:dyDescent="0.3">
      <c r="A186" s="9">
        <v>45792</v>
      </c>
      <c r="B186" t="s">
        <v>9</v>
      </c>
      <c r="C186" t="s">
        <v>16</v>
      </c>
      <c r="D186" t="s">
        <v>15</v>
      </c>
      <c r="E186" s="20">
        <v>12382</v>
      </c>
    </row>
    <row r="187" spans="1:5" x14ac:dyDescent="0.3">
      <c r="A187" s="9">
        <v>45691</v>
      </c>
      <c r="B187" t="s">
        <v>9</v>
      </c>
      <c r="C187" t="s">
        <v>26</v>
      </c>
      <c r="D187" t="s">
        <v>25</v>
      </c>
      <c r="E187" s="20">
        <v>8792</v>
      </c>
    </row>
    <row r="188" spans="1:5" x14ac:dyDescent="0.3">
      <c r="A188" s="9">
        <v>45679</v>
      </c>
      <c r="B188" t="s">
        <v>9</v>
      </c>
      <c r="C188" t="s">
        <v>52</v>
      </c>
      <c r="D188" t="s">
        <v>57</v>
      </c>
      <c r="E188" s="20">
        <v>1874</v>
      </c>
    </row>
    <row r="189" spans="1:5" x14ac:dyDescent="0.3">
      <c r="A189" s="9">
        <v>45707</v>
      </c>
      <c r="B189" t="s">
        <v>9</v>
      </c>
      <c r="C189" t="s">
        <v>19</v>
      </c>
      <c r="D189" t="s">
        <v>67</v>
      </c>
      <c r="E189" s="20">
        <v>13669</v>
      </c>
    </row>
    <row r="190" spans="1:5" x14ac:dyDescent="0.3">
      <c r="A190" s="9">
        <v>45771</v>
      </c>
      <c r="B190" t="s">
        <v>9</v>
      </c>
      <c r="C190" t="s">
        <v>36</v>
      </c>
      <c r="D190" t="s">
        <v>66</v>
      </c>
      <c r="E190" s="20">
        <v>9824</v>
      </c>
    </row>
    <row r="191" spans="1:5" x14ac:dyDescent="0.3">
      <c r="A191" s="9">
        <v>45835</v>
      </c>
      <c r="B191" t="s">
        <v>9</v>
      </c>
      <c r="C191" t="s">
        <v>39</v>
      </c>
      <c r="D191" t="s">
        <v>49</v>
      </c>
      <c r="E191" s="20">
        <v>17981</v>
      </c>
    </row>
    <row r="192" spans="1:5" x14ac:dyDescent="0.3">
      <c r="A192" s="9">
        <v>45676</v>
      </c>
      <c r="B192" t="s">
        <v>9</v>
      </c>
      <c r="C192" t="s">
        <v>46</v>
      </c>
      <c r="D192" t="s">
        <v>48</v>
      </c>
      <c r="E192" s="20">
        <v>1669</v>
      </c>
    </row>
    <row r="193" spans="1:5" x14ac:dyDescent="0.3">
      <c r="A193" s="9">
        <v>45771</v>
      </c>
      <c r="B193" t="s">
        <v>9</v>
      </c>
      <c r="C193" t="s">
        <v>46</v>
      </c>
      <c r="D193" t="s">
        <v>58</v>
      </c>
      <c r="E193" s="20">
        <v>15242</v>
      </c>
    </row>
    <row r="194" spans="1:5" x14ac:dyDescent="0.3">
      <c r="A194" s="9">
        <v>45725</v>
      </c>
      <c r="B194" t="s">
        <v>9</v>
      </c>
      <c r="C194" t="s">
        <v>10</v>
      </c>
      <c r="D194" t="s">
        <v>55</v>
      </c>
      <c r="E194" s="20">
        <v>19361</v>
      </c>
    </row>
    <row r="195" spans="1:5" x14ac:dyDescent="0.3">
      <c r="A195" s="9">
        <v>45681</v>
      </c>
      <c r="B195" t="s">
        <v>9</v>
      </c>
      <c r="C195" t="s">
        <v>54</v>
      </c>
      <c r="D195" t="s">
        <v>72</v>
      </c>
      <c r="E195" s="20">
        <v>17920</v>
      </c>
    </row>
    <row r="196" spans="1:5" x14ac:dyDescent="0.3">
      <c r="A196" s="9">
        <v>45777</v>
      </c>
      <c r="B196" t="s">
        <v>9</v>
      </c>
      <c r="C196" t="s">
        <v>54</v>
      </c>
      <c r="D196" t="s">
        <v>53</v>
      </c>
      <c r="E196" s="20">
        <v>19331</v>
      </c>
    </row>
    <row r="197" spans="1:5" x14ac:dyDescent="0.3">
      <c r="A197" s="9">
        <v>45760</v>
      </c>
      <c r="B197" t="s">
        <v>9</v>
      </c>
      <c r="C197" t="s">
        <v>26</v>
      </c>
      <c r="D197" t="s">
        <v>81</v>
      </c>
      <c r="E197" s="20">
        <v>17071</v>
      </c>
    </row>
    <row r="198" spans="1:5" x14ac:dyDescent="0.3">
      <c r="A198" s="9">
        <v>45715</v>
      </c>
      <c r="B198" t="s">
        <v>9</v>
      </c>
      <c r="C198" t="s">
        <v>33</v>
      </c>
      <c r="D198" t="s">
        <v>32</v>
      </c>
      <c r="E198" s="20">
        <v>15987</v>
      </c>
    </row>
    <row r="199" spans="1:5" x14ac:dyDescent="0.3">
      <c r="A199" s="9">
        <v>45764</v>
      </c>
      <c r="B199" t="s">
        <v>9</v>
      </c>
      <c r="C199" t="s">
        <v>16</v>
      </c>
      <c r="D199" t="s">
        <v>42</v>
      </c>
      <c r="E199" s="20">
        <v>1416</v>
      </c>
    </row>
    <row r="200" spans="1:5" x14ac:dyDescent="0.3">
      <c r="A200" s="9">
        <v>45676</v>
      </c>
      <c r="B200" t="s">
        <v>9</v>
      </c>
      <c r="C200" t="s">
        <v>26</v>
      </c>
      <c r="D200" t="s">
        <v>25</v>
      </c>
      <c r="E200" s="20">
        <v>4121</v>
      </c>
    </row>
    <row r="201" spans="1:5" x14ac:dyDescent="0.3">
      <c r="A201" s="9">
        <v>45758</v>
      </c>
      <c r="B201" t="s">
        <v>9</v>
      </c>
      <c r="C201" t="s">
        <v>19</v>
      </c>
      <c r="D201" t="s">
        <v>18</v>
      </c>
      <c r="E201" s="20">
        <v>15831</v>
      </c>
    </row>
    <row r="202" spans="1:5" x14ac:dyDescent="0.3">
      <c r="A202" s="9">
        <v>45765</v>
      </c>
      <c r="B202" t="s">
        <v>9</v>
      </c>
      <c r="C202" t="s">
        <v>36</v>
      </c>
      <c r="D202" t="s">
        <v>68</v>
      </c>
      <c r="E202" s="20">
        <v>17706</v>
      </c>
    </row>
    <row r="203" spans="1:5" x14ac:dyDescent="0.3">
      <c r="A203" s="9">
        <v>45763</v>
      </c>
      <c r="B203" t="s">
        <v>9</v>
      </c>
      <c r="C203" t="s">
        <v>54</v>
      </c>
      <c r="D203" t="s">
        <v>56</v>
      </c>
      <c r="E203" s="20">
        <v>19699</v>
      </c>
    </row>
    <row r="204" spans="1:5" x14ac:dyDescent="0.3">
      <c r="A204" s="9">
        <v>45807</v>
      </c>
      <c r="B204" t="s">
        <v>9</v>
      </c>
      <c r="C204" t="s">
        <v>28</v>
      </c>
      <c r="D204" t="s">
        <v>75</v>
      </c>
      <c r="E204" s="20">
        <v>11067</v>
      </c>
    </row>
    <row r="205" spans="1:5" x14ac:dyDescent="0.3">
      <c r="A205" s="9">
        <v>45690</v>
      </c>
      <c r="B205" t="s">
        <v>9</v>
      </c>
      <c r="C205" t="s">
        <v>19</v>
      </c>
      <c r="D205" t="s">
        <v>67</v>
      </c>
      <c r="E205" s="20">
        <v>18224</v>
      </c>
    </row>
    <row r="206" spans="1:5" x14ac:dyDescent="0.3">
      <c r="A206" s="9">
        <v>45769</v>
      </c>
      <c r="B206" t="s">
        <v>9</v>
      </c>
      <c r="C206" t="s">
        <v>19</v>
      </c>
      <c r="D206" t="s">
        <v>18</v>
      </c>
      <c r="E206" s="20">
        <v>12497</v>
      </c>
    </row>
    <row r="207" spans="1:5" x14ac:dyDescent="0.3">
      <c r="A207" s="9">
        <v>45724</v>
      </c>
      <c r="B207" t="s">
        <v>9</v>
      </c>
      <c r="C207" t="s">
        <v>52</v>
      </c>
      <c r="D207" t="s">
        <v>57</v>
      </c>
      <c r="E207" s="20">
        <v>2400</v>
      </c>
    </row>
    <row r="208" spans="1:5" x14ac:dyDescent="0.3">
      <c r="A208" s="9">
        <v>45775</v>
      </c>
      <c r="B208" t="s">
        <v>9</v>
      </c>
      <c r="C208" t="s">
        <v>52</v>
      </c>
      <c r="D208" t="s">
        <v>51</v>
      </c>
      <c r="E208" s="20">
        <v>16674</v>
      </c>
    </row>
    <row r="209" spans="1:5" x14ac:dyDescent="0.3">
      <c r="A209" s="9">
        <v>45830</v>
      </c>
      <c r="B209" t="s">
        <v>9</v>
      </c>
      <c r="C209" t="s">
        <v>36</v>
      </c>
      <c r="D209" t="s">
        <v>35</v>
      </c>
      <c r="E209" s="20">
        <v>4031</v>
      </c>
    </row>
    <row r="210" spans="1:5" x14ac:dyDescent="0.3">
      <c r="A210" s="9">
        <v>45801</v>
      </c>
      <c r="B210" t="s">
        <v>9</v>
      </c>
      <c r="C210" t="s">
        <v>52</v>
      </c>
      <c r="D210" t="s">
        <v>62</v>
      </c>
      <c r="E210" s="20">
        <v>3848</v>
      </c>
    </row>
    <row r="211" spans="1:5" x14ac:dyDescent="0.3">
      <c r="A211" s="9">
        <v>45833</v>
      </c>
      <c r="B211" t="s">
        <v>9</v>
      </c>
      <c r="C211" t="s">
        <v>36</v>
      </c>
      <c r="D211" t="s">
        <v>35</v>
      </c>
      <c r="E211" s="20">
        <v>14961</v>
      </c>
    </row>
    <row r="212" spans="1:5" x14ac:dyDescent="0.3">
      <c r="A212" s="9">
        <v>45761</v>
      </c>
      <c r="B212" t="s">
        <v>9</v>
      </c>
      <c r="C212" t="s">
        <v>54</v>
      </c>
      <c r="D212" t="s">
        <v>72</v>
      </c>
      <c r="E212" s="20">
        <v>16022</v>
      </c>
    </row>
    <row r="213" spans="1:5" x14ac:dyDescent="0.3">
      <c r="A213" s="9">
        <v>45686</v>
      </c>
      <c r="B213" t="s">
        <v>9</v>
      </c>
      <c r="C213" t="s">
        <v>33</v>
      </c>
      <c r="D213" t="s">
        <v>79</v>
      </c>
      <c r="E213" s="20">
        <v>611</v>
      </c>
    </row>
    <row r="214" spans="1:5" x14ac:dyDescent="0.3">
      <c r="A214" s="9">
        <v>45734</v>
      </c>
      <c r="B214" t="s">
        <v>9</v>
      </c>
      <c r="C214" t="s">
        <v>33</v>
      </c>
      <c r="D214" t="s">
        <v>37</v>
      </c>
      <c r="E214" s="20">
        <v>12285</v>
      </c>
    </row>
    <row r="215" spans="1:5" x14ac:dyDescent="0.3">
      <c r="A215" s="9">
        <v>45718</v>
      </c>
      <c r="B215" t="s">
        <v>9</v>
      </c>
      <c r="C215" t="s">
        <v>10</v>
      </c>
      <c r="D215" t="s">
        <v>55</v>
      </c>
      <c r="E215" s="20">
        <v>17554</v>
      </c>
    </row>
    <row r="216" spans="1:5" x14ac:dyDescent="0.3">
      <c r="A216" s="9">
        <v>45719</v>
      </c>
      <c r="B216" t="s">
        <v>9</v>
      </c>
      <c r="C216" t="s">
        <v>33</v>
      </c>
      <c r="D216" t="s">
        <v>79</v>
      </c>
      <c r="E216" s="20">
        <v>285</v>
      </c>
    </row>
    <row r="217" spans="1:5" x14ac:dyDescent="0.3">
      <c r="A217" s="9">
        <v>45807</v>
      </c>
      <c r="B217" t="s">
        <v>9</v>
      </c>
      <c r="C217" t="s">
        <v>54</v>
      </c>
      <c r="D217" t="s">
        <v>53</v>
      </c>
      <c r="E217" s="20">
        <v>8843</v>
      </c>
    </row>
    <row r="218" spans="1:5" x14ac:dyDescent="0.3">
      <c r="A218" s="9">
        <v>45699</v>
      </c>
      <c r="B218" t="s">
        <v>9</v>
      </c>
      <c r="C218" t="s">
        <v>10</v>
      </c>
      <c r="D218" t="s">
        <v>64</v>
      </c>
      <c r="E218" s="20">
        <v>14901</v>
      </c>
    </row>
    <row r="219" spans="1:5" x14ac:dyDescent="0.3">
      <c r="A219" s="9">
        <v>45691</v>
      </c>
      <c r="B219" t="s">
        <v>9</v>
      </c>
      <c r="C219" t="s">
        <v>19</v>
      </c>
      <c r="D219" t="s">
        <v>34</v>
      </c>
      <c r="E219" s="20">
        <v>965</v>
      </c>
    </row>
    <row r="220" spans="1:5" x14ac:dyDescent="0.3">
      <c r="A220" s="9">
        <v>45772</v>
      </c>
      <c r="B220" t="s">
        <v>9</v>
      </c>
      <c r="C220" t="s">
        <v>28</v>
      </c>
      <c r="D220" t="s">
        <v>71</v>
      </c>
      <c r="E220" s="20">
        <v>13739</v>
      </c>
    </row>
    <row r="221" spans="1:5" x14ac:dyDescent="0.3">
      <c r="A221" s="9">
        <v>45757</v>
      </c>
      <c r="B221" t="s">
        <v>9</v>
      </c>
      <c r="C221" t="s">
        <v>46</v>
      </c>
      <c r="D221" t="s">
        <v>73</v>
      </c>
      <c r="E221" s="20">
        <v>2723</v>
      </c>
    </row>
    <row r="222" spans="1:5" x14ac:dyDescent="0.3">
      <c r="A222" s="9">
        <v>45810</v>
      </c>
      <c r="B222" t="s">
        <v>9</v>
      </c>
      <c r="C222" t="s">
        <v>54</v>
      </c>
      <c r="D222" t="s">
        <v>56</v>
      </c>
      <c r="E222" s="20">
        <v>4808</v>
      </c>
    </row>
    <row r="223" spans="1:5" x14ac:dyDescent="0.3">
      <c r="A223" s="9">
        <v>45707</v>
      </c>
      <c r="B223" t="s">
        <v>9</v>
      </c>
      <c r="C223" t="s">
        <v>46</v>
      </c>
      <c r="D223" t="s">
        <v>48</v>
      </c>
      <c r="E223" s="20">
        <v>11307</v>
      </c>
    </row>
    <row r="224" spans="1:5" x14ac:dyDescent="0.3">
      <c r="A224" s="9">
        <v>45756</v>
      </c>
      <c r="B224" t="s">
        <v>9</v>
      </c>
      <c r="C224" t="s">
        <v>52</v>
      </c>
      <c r="D224" t="s">
        <v>62</v>
      </c>
      <c r="E224" s="20">
        <v>9736</v>
      </c>
    </row>
    <row r="225" spans="1:5" x14ac:dyDescent="0.3">
      <c r="A225" s="9">
        <v>45825</v>
      </c>
      <c r="B225" t="s">
        <v>9</v>
      </c>
      <c r="C225" t="s">
        <v>21</v>
      </c>
      <c r="D225" t="s">
        <v>20</v>
      </c>
      <c r="E225" s="20">
        <v>6548</v>
      </c>
    </row>
    <row r="226" spans="1:5" x14ac:dyDescent="0.3">
      <c r="A226" s="9">
        <v>45823</v>
      </c>
      <c r="B226" t="s">
        <v>9</v>
      </c>
      <c r="C226" t="s">
        <v>19</v>
      </c>
      <c r="D226" t="s">
        <v>67</v>
      </c>
      <c r="E226" s="20">
        <v>6019</v>
      </c>
    </row>
    <row r="227" spans="1:5" x14ac:dyDescent="0.3">
      <c r="A227" s="9">
        <v>45708</v>
      </c>
      <c r="B227" t="s">
        <v>9</v>
      </c>
      <c r="C227" t="s">
        <v>10</v>
      </c>
      <c r="D227" t="s">
        <v>8</v>
      </c>
      <c r="E227" s="20">
        <v>4142</v>
      </c>
    </row>
    <row r="228" spans="1:5" x14ac:dyDescent="0.3">
      <c r="A228" s="9">
        <v>45782</v>
      </c>
      <c r="B228" t="s">
        <v>9</v>
      </c>
      <c r="C228" t="s">
        <v>39</v>
      </c>
      <c r="D228" t="s">
        <v>49</v>
      </c>
      <c r="E228" s="20">
        <v>6478</v>
      </c>
    </row>
    <row r="229" spans="1:5" x14ac:dyDescent="0.3">
      <c r="A229" s="9">
        <v>45837</v>
      </c>
      <c r="B229" t="s">
        <v>9</v>
      </c>
      <c r="C229" t="s">
        <v>46</v>
      </c>
      <c r="D229" t="s">
        <v>45</v>
      </c>
      <c r="E229" s="20">
        <v>8151</v>
      </c>
    </row>
    <row r="230" spans="1:5" x14ac:dyDescent="0.3">
      <c r="A230" s="9">
        <v>45709</v>
      </c>
      <c r="B230" t="s">
        <v>9</v>
      </c>
      <c r="C230" t="s">
        <v>26</v>
      </c>
      <c r="D230" t="s">
        <v>31</v>
      </c>
      <c r="E230" s="20">
        <v>14883</v>
      </c>
    </row>
    <row r="231" spans="1:5" x14ac:dyDescent="0.3">
      <c r="A231" s="9">
        <v>45792</v>
      </c>
      <c r="B231" t="s">
        <v>9</v>
      </c>
      <c r="C231" t="s">
        <v>21</v>
      </c>
      <c r="D231" t="s">
        <v>41</v>
      </c>
      <c r="E231" s="20">
        <v>15737</v>
      </c>
    </row>
    <row r="232" spans="1:5" x14ac:dyDescent="0.3">
      <c r="A232" s="9">
        <v>45698</v>
      </c>
      <c r="B232" t="s">
        <v>9</v>
      </c>
      <c r="C232" t="s">
        <v>52</v>
      </c>
      <c r="D232" t="s">
        <v>51</v>
      </c>
      <c r="E232" s="20">
        <v>17652</v>
      </c>
    </row>
    <row r="233" spans="1:5" x14ac:dyDescent="0.3">
      <c r="A233" s="9">
        <v>45807</v>
      </c>
      <c r="B233" t="s">
        <v>9</v>
      </c>
      <c r="C233" t="s">
        <v>36</v>
      </c>
      <c r="D233" t="s">
        <v>35</v>
      </c>
      <c r="E233" s="20">
        <v>16562</v>
      </c>
    </row>
    <row r="234" spans="1:5" x14ac:dyDescent="0.3">
      <c r="A234" s="9">
        <v>45729</v>
      </c>
      <c r="B234" t="s">
        <v>9</v>
      </c>
      <c r="C234" t="s">
        <v>39</v>
      </c>
      <c r="D234" t="s">
        <v>49</v>
      </c>
      <c r="E234" s="20">
        <v>15232</v>
      </c>
    </row>
    <row r="235" spans="1:5" x14ac:dyDescent="0.3">
      <c r="A235" s="9">
        <v>45739</v>
      </c>
      <c r="B235" t="s">
        <v>9</v>
      </c>
      <c r="C235" t="s">
        <v>46</v>
      </c>
      <c r="D235" t="s">
        <v>58</v>
      </c>
      <c r="E235" s="20">
        <v>5676</v>
      </c>
    </row>
    <row r="236" spans="1:5" x14ac:dyDescent="0.3">
      <c r="A236" s="9">
        <v>45706</v>
      </c>
      <c r="B236" t="s">
        <v>9</v>
      </c>
      <c r="C236" t="s">
        <v>54</v>
      </c>
      <c r="D236" t="s">
        <v>56</v>
      </c>
      <c r="E236" s="20">
        <v>4647</v>
      </c>
    </row>
    <row r="237" spans="1:5" x14ac:dyDescent="0.3">
      <c r="A237" s="9">
        <v>45776</v>
      </c>
      <c r="B237" t="s">
        <v>9</v>
      </c>
      <c r="C237" t="s">
        <v>16</v>
      </c>
      <c r="D237" t="s">
        <v>76</v>
      </c>
      <c r="E237" s="20">
        <v>15387</v>
      </c>
    </row>
    <row r="238" spans="1:5" x14ac:dyDescent="0.3">
      <c r="A238" s="9">
        <v>45795</v>
      </c>
      <c r="B238" t="s">
        <v>9</v>
      </c>
      <c r="C238" t="s">
        <v>10</v>
      </c>
      <c r="D238" t="s">
        <v>47</v>
      </c>
      <c r="E238" s="20">
        <v>12427</v>
      </c>
    </row>
    <row r="239" spans="1:5" x14ac:dyDescent="0.3">
      <c r="A239" s="9">
        <v>45700</v>
      </c>
      <c r="B239" t="s">
        <v>9</v>
      </c>
      <c r="C239" t="s">
        <v>16</v>
      </c>
      <c r="D239" t="s">
        <v>76</v>
      </c>
      <c r="E239" s="20">
        <v>6704</v>
      </c>
    </row>
    <row r="240" spans="1:5" x14ac:dyDescent="0.3">
      <c r="A240" s="9">
        <v>45817</v>
      </c>
      <c r="B240" t="s">
        <v>9</v>
      </c>
      <c r="C240" t="s">
        <v>19</v>
      </c>
      <c r="D240" t="s">
        <v>34</v>
      </c>
      <c r="E240" s="20">
        <v>1162</v>
      </c>
    </row>
    <row r="241" spans="1:5" x14ac:dyDescent="0.3">
      <c r="A241" s="9">
        <v>45800</v>
      </c>
      <c r="B241" t="s">
        <v>9</v>
      </c>
      <c r="C241" t="s">
        <v>36</v>
      </c>
      <c r="D241" t="s">
        <v>35</v>
      </c>
      <c r="E241" s="20">
        <v>4524</v>
      </c>
    </row>
    <row r="242" spans="1:5" x14ac:dyDescent="0.3">
      <c r="A242" s="9">
        <v>45788</v>
      </c>
      <c r="B242" t="s">
        <v>9</v>
      </c>
      <c r="C242" t="s">
        <v>33</v>
      </c>
      <c r="D242" t="s">
        <v>37</v>
      </c>
      <c r="E242" s="20">
        <v>19660</v>
      </c>
    </row>
    <row r="243" spans="1:5" x14ac:dyDescent="0.3">
      <c r="A243" s="9">
        <v>45830</v>
      </c>
      <c r="B243" t="s">
        <v>9</v>
      </c>
      <c r="C243" t="s">
        <v>46</v>
      </c>
      <c r="D243" t="s">
        <v>48</v>
      </c>
      <c r="E243" s="20">
        <v>6509</v>
      </c>
    </row>
    <row r="244" spans="1:5" x14ac:dyDescent="0.3">
      <c r="A244" s="9">
        <v>45742</v>
      </c>
      <c r="B244" t="s">
        <v>9</v>
      </c>
      <c r="C244" t="s">
        <v>54</v>
      </c>
      <c r="D244" t="s">
        <v>72</v>
      </c>
      <c r="E244" s="20">
        <v>1064</v>
      </c>
    </row>
    <row r="245" spans="1:5" x14ac:dyDescent="0.3">
      <c r="A245" s="9">
        <v>45796</v>
      </c>
      <c r="B245" t="s">
        <v>9</v>
      </c>
      <c r="C245" t="s">
        <v>54</v>
      </c>
      <c r="D245" t="s">
        <v>53</v>
      </c>
      <c r="E245" s="20">
        <v>3216</v>
      </c>
    </row>
    <row r="246" spans="1:5" x14ac:dyDescent="0.3">
      <c r="A246" s="9">
        <v>45834</v>
      </c>
      <c r="B246" t="s">
        <v>9</v>
      </c>
      <c r="C246" t="s">
        <v>52</v>
      </c>
      <c r="D246" t="s">
        <v>62</v>
      </c>
      <c r="E246" s="20">
        <v>18401</v>
      </c>
    </row>
    <row r="247" spans="1:5" x14ac:dyDescent="0.3">
      <c r="A247" s="9">
        <v>45707</v>
      </c>
      <c r="B247" t="s">
        <v>9</v>
      </c>
      <c r="C247" t="s">
        <v>21</v>
      </c>
      <c r="D247" t="s">
        <v>20</v>
      </c>
      <c r="E247" s="20">
        <v>17475</v>
      </c>
    </row>
    <row r="248" spans="1:5" x14ac:dyDescent="0.3">
      <c r="A248" s="9">
        <v>45835</v>
      </c>
      <c r="B248" t="s">
        <v>9</v>
      </c>
      <c r="C248" t="s">
        <v>46</v>
      </c>
      <c r="D248" t="s">
        <v>45</v>
      </c>
      <c r="E248" s="20">
        <v>9923</v>
      </c>
    </row>
    <row r="249" spans="1:5" x14ac:dyDescent="0.3">
      <c r="A249" s="9">
        <v>45740</v>
      </c>
      <c r="B249" t="s">
        <v>9</v>
      </c>
      <c r="C249" t="s">
        <v>39</v>
      </c>
      <c r="D249" t="s">
        <v>43</v>
      </c>
      <c r="E249" s="20">
        <v>11924</v>
      </c>
    </row>
    <row r="250" spans="1:5" x14ac:dyDescent="0.3">
      <c r="A250" s="9">
        <v>45689</v>
      </c>
      <c r="B250" t="s">
        <v>9</v>
      </c>
      <c r="C250" t="s">
        <v>33</v>
      </c>
      <c r="D250" t="s">
        <v>32</v>
      </c>
      <c r="E250" s="20">
        <v>9097</v>
      </c>
    </row>
    <row r="251" spans="1:5" x14ac:dyDescent="0.3">
      <c r="A251" s="9">
        <v>45802</v>
      </c>
      <c r="B251" t="s">
        <v>9</v>
      </c>
      <c r="C251" t="s">
        <v>52</v>
      </c>
      <c r="D251" t="s">
        <v>62</v>
      </c>
      <c r="E251" s="20">
        <v>13055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248BD-42F2-4E87-8151-0CCC3677BFBE}">
  <sheetPr codeName="Sheet2">
    <tabColor theme="9" tint="-0.249977111117893"/>
  </sheetPr>
  <dimension ref="A1:E101"/>
  <sheetViews>
    <sheetView topLeftCell="A2" workbookViewId="0">
      <selection activeCell="D10" sqref="D10"/>
    </sheetView>
  </sheetViews>
  <sheetFormatPr defaultRowHeight="14.4" x14ac:dyDescent="0.3"/>
  <cols>
    <col min="1" max="1" width="10.33203125" bestFit="1" customWidth="1"/>
    <col min="2" max="2" width="7.33203125" bestFit="1" customWidth="1"/>
    <col min="3" max="3" width="13.5546875" bestFit="1" customWidth="1"/>
    <col min="4" max="4" width="14.77734375" bestFit="1" customWidth="1"/>
    <col min="5" max="5" width="10.44140625" bestFit="1" customWidth="1"/>
  </cols>
  <sheetData>
    <row r="1" spans="1:5" x14ac:dyDescent="0.3">
      <c r="A1" t="s">
        <v>0</v>
      </c>
      <c r="B1" t="s">
        <v>3</v>
      </c>
      <c r="C1" t="s">
        <v>4</v>
      </c>
      <c r="D1" t="s">
        <v>2</v>
      </c>
      <c r="E1" s="20" t="s">
        <v>1</v>
      </c>
    </row>
    <row r="2" spans="1:5" x14ac:dyDescent="0.3">
      <c r="A2" s="9">
        <v>45777</v>
      </c>
      <c r="B2" t="s">
        <v>6</v>
      </c>
      <c r="C2" t="s">
        <v>7</v>
      </c>
      <c r="D2" t="s">
        <v>5</v>
      </c>
      <c r="E2" s="20">
        <v>38211</v>
      </c>
    </row>
    <row r="3" spans="1:5" x14ac:dyDescent="0.3">
      <c r="A3" s="9">
        <v>45786</v>
      </c>
      <c r="B3" t="s">
        <v>6</v>
      </c>
      <c r="C3" t="s">
        <v>12</v>
      </c>
      <c r="D3" t="s">
        <v>11</v>
      </c>
      <c r="E3" s="20">
        <v>30867</v>
      </c>
    </row>
    <row r="4" spans="1:5" x14ac:dyDescent="0.3">
      <c r="A4" s="9">
        <v>45671</v>
      </c>
      <c r="B4" t="s">
        <v>6</v>
      </c>
      <c r="C4" t="s">
        <v>14</v>
      </c>
      <c r="D4" t="s">
        <v>13</v>
      </c>
      <c r="E4" s="20">
        <v>20234</v>
      </c>
    </row>
    <row r="5" spans="1:5" x14ac:dyDescent="0.3">
      <c r="A5" s="9">
        <v>45821</v>
      </c>
      <c r="B5" t="s">
        <v>6</v>
      </c>
      <c r="C5" t="s">
        <v>7</v>
      </c>
      <c r="D5" t="s">
        <v>17</v>
      </c>
      <c r="E5" s="20">
        <v>19398</v>
      </c>
    </row>
    <row r="6" spans="1:5" x14ac:dyDescent="0.3">
      <c r="A6" s="9">
        <v>45813</v>
      </c>
      <c r="B6" t="s">
        <v>6</v>
      </c>
      <c r="C6" t="s">
        <v>24</v>
      </c>
      <c r="D6" t="s">
        <v>23</v>
      </c>
      <c r="E6" s="20">
        <v>21787</v>
      </c>
    </row>
    <row r="7" spans="1:5" x14ac:dyDescent="0.3">
      <c r="A7" s="9">
        <v>45727</v>
      </c>
      <c r="B7" t="s">
        <v>6</v>
      </c>
      <c r="C7" t="s">
        <v>24</v>
      </c>
      <c r="D7" t="s">
        <v>23</v>
      </c>
      <c r="E7" s="20">
        <v>38422</v>
      </c>
    </row>
    <row r="8" spans="1:5" x14ac:dyDescent="0.3">
      <c r="A8" s="9">
        <v>45693</v>
      </c>
      <c r="B8" t="s">
        <v>6</v>
      </c>
      <c r="C8" t="s">
        <v>12</v>
      </c>
      <c r="D8" t="s">
        <v>29</v>
      </c>
      <c r="E8" s="20">
        <v>3606</v>
      </c>
    </row>
    <row r="9" spans="1:5" x14ac:dyDescent="0.3">
      <c r="A9" s="9">
        <v>45824</v>
      </c>
      <c r="B9" t="s">
        <v>6</v>
      </c>
      <c r="C9" t="s">
        <v>14</v>
      </c>
      <c r="D9" t="s">
        <v>13</v>
      </c>
      <c r="E9" s="20">
        <v>31442</v>
      </c>
    </row>
    <row r="10" spans="1:5" x14ac:dyDescent="0.3">
      <c r="A10" s="9">
        <v>45784</v>
      </c>
      <c r="B10" t="s">
        <v>6</v>
      </c>
      <c r="C10" t="s">
        <v>12</v>
      </c>
      <c r="D10" t="s">
        <v>29</v>
      </c>
      <c r="E10" s="20">
        <v>38022</v>
      </c>
    </row>
    <row r="11" spans="1:5" x14ac:dyDescent="0.3">
      <c r="A11" s="9">
        <v>45679</v>
      </c>
      <c r="B11" t="s">
        <v>6</v>
      </c>
      <c r="C11" t="s">
        <v>7</v>
      </c>
      <c r="D11" t="s">
        <v>17</v>
      </c>
      <c r="E11" s="20">
        <v>22199</v>
      </c>
    </row>
    <row r="12" spans="1:5" x14ac:dyDescent="0.3">
      <c r="A12" s="9">
        <v>45703</v>
      </c>
      <c r="B12" t="s">
        <v>6</v>
      </c>
      <c r="C12" t="s">
        <v>14</v>
      </c>
      <c r="D12" t="s">
        <v>44</v>
      </c>
      <c r="E12" s="20">
        <v>36801</v>
      </c>
    </row>
    <row r="13" spans="1:5" x14ac:dyDescent="0.3">
      <c r="A13" s="9">
        <v>45762</v>
      </c>
      <c r="B13" t="s">
        <v>6</v>
      </c>
      <c r="C13" t="s">
        <v>7</v>
      </c>
      <c r="D13" t="s">
        <v>50</v>
      </c>
      <c r="E13" s="20">
        <v>28150</v>
      </c>
    </row>
    <row r="14" spans="1:5" x14ac:dyDescent="0.3">
      <c r="A14" s="9">
        <v>45759</v>
      </c>
      <c r="B14" t="s">
        <v>6</v>
      </c>
      <c r="C14" t="s">
        <v>7</v>
      </c>
      <c r="D14" t="s">
        <v>5</v>
      </c>
      <c r="E14" s="20">
        <v>41463</v>
      </c>
    </row>
    <row r="15" spans="1:5" x14ac:dyDescent="0.3">
      <c r="A15" s="9">
        <v>45756</v>
      </c>
      <c r="B15" t="s">
        <v>6</v>
      </c>
      <c r="C15" t="s">
        <v>61</v>
      </c>
      <c r="D15" t="s">
        <v>60</v>
      </c>
      <c r="E15" s="20">
        <v>20054</v>
      </c>
    </row>
    <row r="16" spans="1:5" x14ac:dyDescent="0.3">
      <c r="A16" s="9">
        <v>45750</v>
      </c>
      <c r="B16" t="s">
        <v>6</v>
      </c>
      <c r="C16" t="s">
        <v>12</v>
      </c>
      <c r="D16" t="s">
        <v>63</v>
      </c>
      <c r="E16" s="20">
        <v>20187</v>
      </c>
    </row>
    <row r="17" spans="1:5" x14ac:dyDescent="0.3">
      <c r="A17" s="9">
        <v>45694</v>
      </c>
      <c r="B17" t="s">
        <v>6</v>
      </c>
      <c r="C17" t="s">
        <v>7</v>
      </c>
      <c r="D17" t="s">
        <v>5</v>
      </c>
      <c r="E17" s="20">
        <v>12413</v>
      </c>
    </row>
    <row r="18" spans="1:5" x14ac:dyDescent="0.3">
      <c r="A18" s="9">
        <v>45725</v>
      </c>
      <c r="B18" t="s">
        <v>6</v>
      </c>
      <c r="C18" t="s">
        <v>61</v>
      </c>
      <c r="D18" t="s">
        <v>60</v>
      </c>
      <c r="E18" s="20">
        <v>27793</v>
      </c>
    </row>
    <row r="19" spans="1:5" x14ac:dyDescent="0.3">
      <c r="A19" s="9">
        <v>45774</v>
      </c>
      <c r="B19" t="s">
        <v>6</v>
      </c>
      <c r="C19" t="s">
        <v>7</v>
      </c>
      <c r="D19" t="s">
        <v>50</v>
      </c>
      <c r="E19" s="20">
        <v>22717</v>
      </c>
    </row>
    <row r="20" spans="1:5" x14ac:dyDescent="0.3">
      <c r="A20" s="9">
        <v>45833</v>
      </c>
      <c r="B20" t="s">
        <v>6</v>
      </c>
      <c r="C20" t="s">
        <v>61</v>
      </c>
      <c r="D20" t="s">
        <v>65</v>
      </c>
      <c r="E20" s="20">
        <v>37873</v>
      </c>
    </row>
    <row r="21" spans="1:5" x14ac:dyDescent="0.3">
      <c r="A21" s="9">
        <v>45799</v>
      </c>
      <c r="B21" t="s">
        <v>6</v>
      </c>
      <c r="C21" t="s">
        <v>14</v>
      </c>
      <c r="D21" t="s">
        <v>44</v>
      </c>
      <c r="E21" s="20">
        <v>13257</v>
      </c>
    </row>
    <row r="22" spans="1:5" x14ac:dyDescent="0.3">
      <c r="A22" s="9">
        <v>45668</v>
      </c>
      <c r="B22" t="s">
        <v>6</v>
      </c>
      <c r="C22" t="s">
        <v>14</v>
      </c>
      <c r="D22" t="s">
        <v>44</v>
      </c>
      <c r="E22" s="20">
        <v>8880</v>
      </c>
    </row>
    <row r="23" spans="1:5" x14ac:dyDescent="0.3">
      <c r="A23" s="9">
        <v>45680</v>
      </c>
      <c r="B23" t="s">
        <v>6</v>
      </c>
      <c r="C23" t="s">
        <v>7</v>
      </c>
      <c r="D23" t="s">
        <v>5</v>
      </c>
      <c r="E23" s="20">
        <v>33142</v>
      </c>
    </row>
    <row r="24" spans="1:5" x14ac:dyDescent="0.3">
      <c r="A24" s="9">
        <v>45746</v>
      </c>
      <c r="B24" t="s">
        <v>6</v>
      </c>
      <c r="C24" t="s">
        <v>7</v>
      </c>
      <c r="D24" t="s">
        <v>50</v>
      </c>
      <c r="E24" s="20">
        <v>8366</v>
      </c>
    </row>
    <row r="25" spans="1:5" x14ac:dyDescent="0.3">
      <c r="A25" s="9">
        <v>45807</v>
      </c>
      <c r="B25" t="s">
        <v>6</v>
      </c>
      <c r="C25" t="s">
        <v>24</v>
      </c>
      <c r="D25" t="s">
        <v>23</v>
      </c>
      <c r="E25" s="20">
        <v>29071</v>
      </c>
    </row>
    <row r="26" spans="1:5" x14ac:dyDescent="0.3">
      <c r="A26" s="9">
        <v>45724</v>
      </c>
      <c r="B26" t="s">
        <v>6</v>
      </c>
      <c r="C26" t="s">
        <v>24</v>
      </c>
      <c r="D26" t="s">
        <v>70</v>
      </c>
      <c r="E26" s="20">
        <v>7909</v>
      </c>
    </row>
    <row r="27" spans="1:5" x14ac:dyDescent="0.3">
      <c r="A27" s="9">
        <v>45797</v>
      </c>
      <c r="B27" t="s">
        <v>6</v>
      </c>
      <c r="C27" t="s">
        <v>12</v>
      </c>
      <c r="D27" t="s">
        <v>63</v>
      </c>
      <c r="E27" s="20">
        <v>43459</v>
      </c>
    </row>
    <row r="28" spans="1:5" x14ac:dyDescent="0.3">
      <c r="A28" s="9">
        <v>45827</v>
      </c>
      <c r="B28" t="s">
        <v>6</v>
      </c>
      <c r="C28" t="s">
        <v>61</v>
      </c>
      <c r="D28" t="s">
        <v>60</v>
      </c>
      <c r="E28" s="20">
        <v>13255</v>
      </c>
    </row>
    <row r="29" spans="1:5" x14ac:dyDescent="0.3">
      <c r="A29" s="9">
        <v>45661</v>
      </c>
      <c r="B29" t="s">
        <v>6</v>
      </c>
      <c r="C29" t="s">
        <v>7</v>
      </c>
      <c r="D29" t="s">
        <v>50</v>
      </c>
      <c r="E29" s="20">
        <v>39716</v>
      </c>
    </row>
    <row r="30" spans="1:5" x14ac:dyDescent="0.3">
      <c r="A30" s="9">
        <v>45731</v>
      </c>
      <c r="B30" t="s">
        <v>6</v>
      </c>
      <c r="C30" t="s">
        <v>24</v>
      </c>
      <c r="D30" t="s">
        <v>23</v>
      </c>
      <c r="E30" s="20">
        <v>23314</v>
      </c>
    </row>
    <row r="31" spans="1:5" x14ac:dyDescent="0.3">
      <c r="A31" s="9">
        <v>45740</v>
      </c>
      <c r="B31" t="s">
        <v>6</v>
      </c>
      <c r="C31" t="s">
        <v>12</v>
      </c>
      <c r="D31" t="s">
        <v>63</v>
      </c>
      <c r="E31" s="20">
        <v>27999</v>
      </c>
    </row>
    <row r="32" spans="1:5" x14ac:dyDescent="0.3">
      <c r="A32" s="9">
        <v>45741</v>
      </c>
      <c r="B32" t="s">
        <v>6</v>
      </c>
      <c r="C32" t="s">
        <v>61</v>
      </c>
      <c r="D32" t="s">
        <v>74</v>
      </c>
      <c r="E32" s="20">
        <v>41896</v>
      </c>
    </row>
    <row r="33" spans="1:5" x14ac:dyDescent="0.3">
      <c r="A33" s="9">
        <v>45658</v>
      </c>
      <c r="B33" t="s">
        <v>6</v>
      </c>
      <c r="C33" t="s">
        <v>7</v>
      </c>
      <c r="D33" t="s">
        <v>17</v>
      </c>
      <c r="E33" s="20">
        <v>38035</v>
      </c>
    </row>
    <row r="34" spans="1:5" x14ac:dyDescent="0.3">
      <c r="A34" s="9">
        <v>45751</v>
      </c>
      <c r="B34" t="s">
        <v>6</v>
      </c>
      <c r="C34" t="s">
        <v>7</v>
      </c>
      <c r="D34" t="s">
        <v>17</v>
      </c>
      <c r="E34" s="20">
        <v>33114</v>
      </c>
    </row>
    <row r="35" spans="1:5" x14ac:dyDescent="0.3">
      <c r="A35" s="9">
        <v>45701</v>
      </c>
      <c r="B35" t="s">
        <v>6</v>
      </c>
      <c r="C35" t="s">
        <v>7</v>
      </c>
      <c r="D35" t="s">
        <v>5</v>
      </c>
      <c r="E35" s="20">
        <v>48094</v>
      </c>
    </row>
    <row r="36" spans="1:5" x14ac:dyDescent="0.3">
      <c r="A36" s="9">
        <v>45732</v>
      </c>
      <c r="B36" t="s">
        <v>6</v>
      </c>
      <c r="C36" t="s">
        <v>14</v>
      </c>
      <c r="D36" t="s">
        <v>13</v>
      </c>
      <c r="E36" s="20">
        <v>39450</v>
      </c>
    </row>
    <row r="37" spans="1:5" x14ac:dyDescent="0.3">
      <c r="A37" s="9">
        <v>45697</v>
      </c>
      <c r="B37" t="s">
        <v>6</v>
      </c>
      <c r="C37" t="s">
        <v>7</v>
      </c>
      <c r="D37" t="s">
        <v>17</v>
      </c>
      <c r="E37" s="20">
        <v>44675</v>
      </c>
    </row>
    <row r="38" spans="1:5" x14ac:dyDescent="0.3">
      <c r="A38" s="9">
        <v>45830</v>
      </c>
      <c r="B38" t="s">
        <v>6</v>
      </c>
      <c r="C38" t="s">
        <v>14</v>
      </c>
      <c r="D38" t="s">
        <v>78</v>
      </c>
      <c r="E38" s="20">
        <v>44171</v>
      </c>
    </row>
    <row r="39" spans="1:5" x14ac:dyDescent="0.3">
      <c r="A39" s="9">
        <v>45820</v>
      </c>
      <c r="B39" t="s">
        <v>6</v>
      </c>
      <c r="C39" t="s">
        <v>12</v>
      </c>
      <c r="D39" t="s">
        <v>11</v>
      </c>
      <c r="E39" s="20">
        <v>13877</v>
      </c>
    </row>
    <row r="40" spans="1:5" x14ac:dyDescent="0.3">
      <c r="A40" s="9">
        <v>45673</v>
      </c>
      <c r="B40" t="s">
        <v>6</v>
      </c>
      <c r="C40" t="s">
        <v>12</v>
      </c>
      <c r="D40" t="s">
        <v>11</v>
      </c>
      <c r="E40" s="20">
        <v>24526</v>
      </c>
    </row>
    <row r="41" spans="1:5" x14ac:dyDescent="0.3">
      <c r="A41" s="9">
        <v>45795</v>
      </c>
      <c r="B41" t="s">
        <v>6</v>
      </c>
      <c r="C41" t="s">
        <v>12</v>
      </c>
      <c r="D41" t="s">
        <v>11</v>
      </c>
      <c r="E41" s="20">
        <v>45211</v>
      </c>
    </row>
    <row r="42" spans="1:5" x14ac:dyDescent="0.3">
      <c r="A42" s="9">
        <v>45741</v>
      </c>
      <c r="B42" t="s">
        <v>6</v>
      </c>
      <c r="C42" t="s">
        <v>12</v>
      </c>
      <c r="D42" t="s">
        <v>11</v>
      </c>
      <c r="E42" s="20">
        <v>18490</v>
      </c>
    </row>
    <row r="43" spans="1:5" x14ac:dyDescent="0.3">
      <c r="A43" s="9">
        <v>45685</v>
      </c>
      <c r="B43" t="s">
        <v>6</v>
      </c>
      <c r="C43" t="s">
        <v>14</v>
      </c>
      <c r="D43" t="s">
        <v>78</v>
      </c>
      <c r="E43" s="20">
        <v>3879</v>
      </c>
    </row>
    <row r="44" spans="1:5" x14ac:dyDescent="0.3">
      <c r="A44" s="9">
        <v>45780</v>
      </c>
      <c r="B44" t="s">
        <v>6</v>
      </c>
      <c r="C44" t="s">
        <v>14</v>
      </c>
      <c r="D44" t="s">
        <v>13</v>
      </c>
      <c r="E44" s="20">
        <v>41653</v>
      </c>
    </row>
    <row r="45" spans="1:5" x14ac:dyDescent="0.3">
      <c r="A45" s="9">
        <v>45756</v>
      </c>
      <c r="B45" t="s">
        <v>6</v>
      </c>
      <c r="C45" t="s">
        <v>7</v>
      </c>
      <c r="D45" t="s">
        <v>17</v>
      </c>
      <c r="E45" s="20">
        <v>6975</v>
      </c>
    </row>
    <row r="46" spans="1:5" x14ac:dyDescent="0.3">
      <c r="A46" s="9">
        <v>45743</v>
      </c>
      <c r="B46" t="s">
        <v>6</v>
      </c>
      <c r="C46" t="s">
        <v>61</v>
      </c>
      <c r="D46" t="s">
        <v>60</v>
      </c>
      <c r="E46" s="20">
        <v>20184</v>
      </c>
    </row>
    <row r="47" spans="1:5" x14ac:dyDescent="0.3">
      <c r="A47" s="9">
        <v>45665</v>
      </c>
      <c r="B47" t="s">
        <v>6</v>
      </c>
      <c r="C47" t="s">
        <v>12</v>
      </c>
      <c r="D47" t="s">
        <v>63</v>
      </c>
      <c r="E47" s="20">
        <v>36968</v>
      </c>
    </row>
    <row r="48" spans="1:5" x14ac:dyDescent="0.3">
      <c r="A48" s="9">
        <v>45687</v>
      </c>
      <c r="B48" t="s">
        <v>6</v>
      </c>
      <c r="C48" t="s">
        <v>24</v>
      </c>
      <c r="D48" t="s">
        <v>70</v>
      </c>
      <c r="E48" s="20">
        <v>40139</v>
      </c>
    </row>
    <row r="49" spans="1:5" x14ac:dyDescent="0.3">
      <c r="A49" s="9">
        <v>45834</v>
      </c>
      <c r="B49" t="s">
        <v>6</v>
      </c>
      <c r="C49" t="s">
        <v>14</v>
      </c>
      <c r="D49" t="s">
        <v>44</v>
      </c>
      <c r="E49" s="20">
        <v>8980</v>
      </c>
    </row>
    <row r="50" spans="1:5" x14ac:dyDescent="0.3">
      <c r="A50" s="9">
        <v>45725</v>
      </c>
      <c r="B50" t="s">
        <v>6</v>
      </c>
      <c r="C50" t="s">
        <v>14</v>
      </c>
      <c r="D50" t="s">
        <v>13</v>
      </c>
      <c r="E50" s="20">
        <v>21384</v>
      </c>
    </row>
    <row r="51" spans="1:5" x14ac:dyDescent="0.3">
      <c r="A51" s="9">
        <v>45727</v>
      </c>
      <c r="B51" t="s">
        <v>6</v>
      </c>
      <c r="C51" t="s">
        <v>12</v>
      </c>
      <c r="D51" t="s">
        <v>29</v>
      </c>
      <c r="E51" s="20">
        <v>48992</v>
      </c>
    </row>
    <row r="52" spans="1:5" x14ac:dyDescent="0.3">
      <c r="A52" s="9">
        <v>45773</v>
      </c>
      <c r="B52" t="s">
        <v>6</v>
      </c>
      <c r="C52" t="s">
        <v>7</v>
      </c>
      <c r="D52" t="s">
        <v>50</v>
      </c>
      <c r="E52" s="20">
        <v>46151</v>
      </c>
    </row>
    <row r="53" spans="1:5" x14ac:dyDescent="0.3">
      <c r="A53" s="9">
        <v>45752</v>
      </c>
      <c r="B53" t="s">
        <v>6</v>
      </c>
      <c r="C53" t="s">
        <v>61</v>
      </c>
      <c r="D53" t="s">
        <v>60</v>
      </c>
      <c r="E53" s="20">
        <v>6987</v>
      </c>
    </row>
    <row r="54" spans="1:5" x14ac:dyDescent="0.3">
      <c r="A54" s="9">
        <v>45738</v>
      </c>
      <c r="B54" t="s">
        <v>6</v>
      </c>
      <c r="C54" t="s">
        <v>14</v>
      </c>
      <c r="D54" t="s">
        <v>44</v>
      </c>
      <c r="E54" s="20">
        <v>27391</v>
      </c>
    </row>
    <row r="55" spans="1:5" x14ac:dyDescent="0.3">
      <c r="A55" s="9">
        <v>45711</v>
      </c>
      <c r="B55" t="s">
        <v>6</v>
      </c>
      <c r="C55" t="s">
        <v>12</v>
      </c>
      <c r="D55" t="s">
        <v>29</v>
      </c>
      <c r="E55" s="20">
        <v>15987</v>
      </c>
    </row>
    <row r="56" spans="1:5" x14ac:dyDescent="0.3">
      <c r="A56" s="9">
        <v>45718</v>
      </c>
      <c r="B56" t="s">
        <v>6</v>
      </c>
      <c r="C56" t="s">
        <v>61</v>
      </c>
      <c r="D56" t="s">
        <v>60</v>
      </c>
      <c r="E56" s="20">
        <v>20094</v>
      </c>
    </row>
    <row r="57" spans="1:5" x14ac:dyDescent="0.3">
      <c r="A57" s="9">
        <v>45765</v>
      </c>
      <c r="B57" t="s">
        <v>6</v>
      </c>
      <c r="C57" t="s">
        <v>7</v>
      </c>
      <c r="D57" t="s">
        <v>50</v>
      </c>
      <c r="E57" s="20">
        <v>16063</v>
      </c>
    </row>
    <row r="58" spans="1:5" x14ac:dyDescent="0.3">
      <c r="A58" s="9">
        <v>45741</v>
      </c>
      <c r="B58" t="s">
        <v>6</v>
      </c>
      <c r="C58" t="s">
        <v>24</v>
      </c>
      <c r="D58" t="s">
        <v>70</v>
      </c>
      <c r="E58" s="20">
        <v>33111</v>
      </c>
    </row>
    <row r="59" spans="1:5" x14ac:dyDescent="0.3">
      <c r="A59" s="9">
        <v>45778</v>
      </c>
      <c r="B59" t="s">
        <v>6</v>
      </c>
      <c r="C59" t="s">
        <v>14</v>
      </c>
      <c r="D59" t="s">
        <v>44</v>
      </c>
      <c r="E59" s="20">
        <v>25995</v>
      </c>
    </row>
    <row r="60" spans="1:5" x14ac:dyDescent="0.3">
      <c r="A60" s="9">
        <v>45674</v>
      </c>
      <c r="B60" t="s">
        <v>6</v>
      </c>
      <c r="C60" t="s">
        <v>24</v>
      </c>
      <c r="D60" t="s">
        <v>23</v>
      </c>
      <c r="E60" s="20">
        <v>29140</v>
      </c>
    </row>
    <row r="61" spans="1:5" x14ac:dyDescent="0.3">
      <c r="A61" s="9">
        <v>45752</v>
      </c>
      <c r="B61" t="s">
        <v>6</v>
      </c>
      <c r="C61" t="s">
        <v>24</v>
      </c>
      <c r="D61" t="s">
        <v>70</v>
      </c>
      <c r="E61" s="20">
        <v>30883</v>
      </c>
    </row>
    <row r="62" spans="1:5" x14ac:dyDescent="0.3">
      <c r="A62" s="9">
        <v>45713</v>
      </c>
      <c r="B62" t="s">
        <v>6</v>
      </c>
      <c r="C62" t="s">
        <v>14</v>
      </c>
      <c r="D62" t="s">
        <v>44</v>
      </c>
      <c r="E62" s="20">
        <v>31618</v>
      </c>
    </row>
    <row r="63" spans="1:5" x14ac:dyDescent="0.3">
      <c r="A63" s="9">
        <v>45776</v>
      </c>
      <c r="B63" t="s">
        <v>6</v>
      </c>
      <c r="C63" t="s">
        <v>24</v>
      </c>
      <c r="D63" t="s">
        <v>70</v>
      </c>
      <c r="E63" s="20">
        <v>9706</v>
      </c>
    </row>
    <row r="64" spans="1:5" x14ac:dyDescent="0.3">
      <c r="A64" s="9">
        <v>45809</v>
      </c>
      <c r="B64" t="s">
        <v>6</v>
      </c>
      <c r="C64" t="s">
        <v>7</v>
      </c>
      <c r="D64" t="s">
        <v>5</v>
      </c>
      <c r="E64" s="20">
        <v>31021</v>
      </c>
    </row>
    <row r="65" spans="1:5" x14ac:dyDescent="0.3">
      <c r="A65" s="9">
        <v>45680</v>
      </c>
      <c r="B65" t="s">
        <v>6</v>
      </c>
      <c r="C65" t="s">
        <v>24</v>
      </c>
      <c r="D65" t="s">
        <v>23</v>
      </c>
      <c r="E65" s="20">
        <v>30368</v>
      </c>
    </row>
    <row r="66" spans="1:5" x14ac:dyDescent="0.3">
      <c r="A66" s="9">
        <v>45687</v>
      </c>
      <c r="B66" t="s">
        <v>6</v>
      </c>
      <c r="C66" t="s">
        <v>24</v>
      </c>
      <c r="D66" t="s">
        <v>23</v>
      </c>
      <c r="E66" s="20">
        <v>24957</v>
      </c>
    </row>
    <row r="67" spans="1:5" x14ac:dyDescent="0.3">
      <c r="A67" s="9">
        <v>45749</v>
      </c>
      <c r="B67" t="s">
        <v>6</v>
      </c>
      <c r="C67" t="s">
        <v>12</v>
      </c>
      <c r="D67" t="s">
        <v>63</v>
      </c>
      <c r="E67" s="20">
        <v>39909</v>
      </c>
    </row>
    <row r="68" spans="1:5" x14ac:dyDescent="0.3">
      <c r="A68" s="9">
        <v>45837</v>
      </c>
      <c r="B68" t="s">
        <v>6</v>
      </c>
      <c r="C68" t="s">
        <v>7</v>
      </c>
      <c r="D68" t="s">
        <v>50</v>
      </c>
      <c r="E68" s="20">
        <v>28225</v>
      </c>
    </row>
    <row r="69" spans="1:5" x14ac:dyDescent="0.3">
      <c r="A69" s="9">
        <v>45741</v>
      </c>
      <c r="B69" t="s">
        <v>6</v>
      </c>
      <c r="C69" t="s">
        <v>12</v>
      </c>
      <c r="D69" t="s">
        <v>11</v>
      </c>
      <c r="E69" s="20">
        <v>13086</v>
      </c>
    </row>
    <row r="70" spans="1:5" x14ac:dyDescent="0.3">
      <c r="A70" s="9">
        <v>45824</v>
      </c>
      <c r="B70" t="s">
        <v>6</v>
      </c>
      <c r="C70" t="s">
        <v>12</v>
      </c>
      <c r="D70" t="s">
        <v>29</v>
      </c>
      <c r="E70" s="20">
        <v>20465</v>
      </c>
    </row>
    <row r="71" spans="1:5" x14ac:dyDescent="0.3">
      <c r="A71" s="9">
        <v>45658</v>
      </c>
      <c r="B71" t="s">
        <v>6</v>
      </c>
      <c r="C71" t="s">
        <v>12</v>
      </c>
      <c r="D71" t="s">
        <v>29</v>
      </c>
      <c r="E71" s="20">
        <v>26725</v>
      </c>
    </row>
    <row r="72" spans="1:5" x14ac:dyDescent="0.3">
      <c r="A72" s="9">
        <v>45701</v>
      </c>
      <c r="B72" t="s">
        <v>6</v>
      </c>
      <c r="C72" t="s">
        <v>12</v>
      </c>
      <c r="D72" t="s">
        <v>63</v>
      </c>
      <c r="E72" s="20">
        <v>48889</v>
      </c>
    </row>
    <row r="73" spans="1:5" x14ac:dyDescent="0.3">
      <c r="A73" s="9">
        <v>45709</v>
      </c>
      <c r="B73" t="s">
        <v>6</v>
      </c>
      <c r="C73" t="s">
        <v>12</v>
      </c>
      <c r="D73" t="s">
        <v>29</v>
      </c>
      <c r="E73" s="20">
        <v>9606</v>
      </c>
    </row>
    <row r="74" spans="1:5" x14ac:dyDescent="0.3">
      <c r="A74" s="9">
        <v>45815</v>
      </c>
      <c r="B74" t="s">
        <v>6</v>
      </c>
      <c r="C74" t="s">
        <v>24</v>
      </c>
      <c r="D74" t="s">
        <v>70</v>
      </c>
      <c r="E74" s="20">
        <v>14749</v>
      </c>
    </row>
    <row r="75" spans="1:5" x14ac:dyDescent="0.3">
      <c r="A75" s="9">
        <v>45665</v>
      </c>
      <c r="B75" t="s">
        <v>6</v>
      </c>
      <c r="C75" t="s">
        <v>24</v>
      </c>
      <c r="D75" t="s">
        <v>70</v>
      </c>
      <c r="E75" s="20">
        <v>42246</v>
      </c>
    </row>
    <row r="76" spans="1:5" x14ac:dyDescent="0.3">
      <c r="A76" s="9">
        <v>45668</v>
      </c>
      <c r="B76" t="s">
        <v>6</v>
      </c>
      <c r="C76" t="s">
        <v>7</v>
      </c>
      <c r="D76" t="s">
        <v>50</v>
      </c>
      <c r="E76" s="20">
        <v>43966</v>
      </c>
    </row>
    <row r="77" spans="1:5" x14ac:dyDescent="0.3">
      <c r="A77" s="9">
        <v>45771</v>
      </c>
      <c r="B77" t="s">
        <v>6</v>
      </c>
      <c r="C77" t="s">
        <v>12</v>
      </c>
      <c r="D77" t="s">
        <v>11</v>
      </c>
      <c r="E77" s="20">
        <v>24272</v>
      </c>
    </row>
    <row r="78" spans="1:5" x14ac:dyDescent="0.3">
      <c r="A78" s="9">
        <v>45825</v>
      </c>
      <c r="B78" t="s">
        <v>6</v>
      </c>
      <c r="C78" t="s">
        <v>12</v>
      </c>
      <c r="D78" t="s">
        <v>63</v>
      </c>
      <c r="E78" s="20">
        <v>35593</v>
      </c>
    </row>
    <row r="79" spans="1:5" x14ac:dyDescent="0.3">
      <c r="A79" s="9">
        <v>45689</v>
      </c>
      <c r="B79" t="s">
        <v>6</v>
      </c>
      <c r="C79" t="s">
        <v>7</v>
      </c>
      <c r="D79" t="s">
        <v>50</v>
      </c>
      <c r="E79" s="20">
        <v>44899</v>
      </c>
    </row>
    <row r="80" spans="1:5" x14ac:dyDescent="0.3">
      <c r="A80" s="9">
        <v>45819</v>
      </c>
      <c r="B80" t="s">
        <v>6</v>
      </c>
      <c r="C80" t="s">
        <v>24</v>
      </c>
      <c r="D80" t="s">
        <v>23</v>
      </c>
      <c r="E80" s="20">
        <v>21865</v>
      </c>
    </row>
    <row r="81" spans="1:5" x14ac:dyDescent="0.3">
      <c r="A81" s="9">
        <v>45689</v>
      </c>
      <c r="B81" t="s">
        <v>6</v>
      </c>
      <c r="C81" t="s">
        <v>12</v>
      </c>
      <c r="D81" t="s">
        <v>29</v>
      </c>
      <c r="E81" s="20">
        <v>13563</v>
      </c>
    </row>
    <row r="82" spans="1:5" x14ac:dyDescent="0.3">
      <c r="A82" s="9">
        <v>45676</v>
      </c>
      <c r="B82" t="s">
        <v>6</v>
      </c>
      <c r="C82" t="s">
        <v>61</v>
      </c>
      <c r="D82" t="s">
        <v>74</v>
      </c>
      <c r="E82" s="20">
        <v>23283</v>
      </c>
    </row>
    <row r="83" spans="1:5" x14ac:dyDescent="0.3">
      <c r="A83" s="9">
        <v>45816</v>
      </c>
      <c r="B83" t="s">
        <v>6</v>
      </c>
      <c r="C83" t="s">
        <v>12</v>
      </c>
      <c r="D83" t="s">
        <v>29</v>
      </c>
      <c r="E83" s="20">
        <v>19994</v>
      </c>
    </row>
    <row r="84" spans="1:5" x14ac:dyDescent="0.3">
      <c r="A84" s="9">
        <v>45685</v>
      </c>
      <c r="B84" t="s">
        <v>6</v>
      </c>
      <c r="C84" t="s">
        <v>7</v>
      </c>
      <c r="D84" t="s">
        <v>50</v>
      </c>
      <c r="E84" s="20">
        <v>31257</v>
      </c>
    </row>
    <row r="85" spans="1:5" x14ac:dyDescent="0.3">
      <c r="A85" s="9">
        <v>45767</v>
      </c>
      <c r="B85" t="s">
        <v>6</v>
      </c>
      <c r="C85" t="s">
        <v>12</v>
      </c>
      <c r="D85" t="s">
        <v>63</v>
      </c>
      <c r="E85" s="20">
        <v>14933</v>
      </c>
    </row>
    <row r="86" spans="1:5" x14ac:dyDescent="0.3">
      <c r="A86" s="9">
        <v>45670</v>
      </c>
      <c r="B86" t="s">
        <v>6</v>
      </c>
      <c r="C86" t="s">
        <v>12</v>
      </c>
      <c r="D86" t="s">
        <v>11</v>
      </c>
      <c r="E86" s="20">
        <v>33041</v>
      </c>
    </row>
    <row r="87" spans="1:5" x14ac:dyDescent="0.3">
      <c r="A87" s="9">
        <v>45705</v>
      </c>
      <c r="B87" t="s">
        <v>6</v>
      </c>
      <c r="C87" t="s">
        <v>7</v>
      </c>
      <c r="D87" t="s">
        <v>50</v>
      </c>
      <c r="E87" s="20">
        <v>28878</v>
      </c>
    </row>
    <row r="88" spans="1:5" x14ac:dyDescent="0.3">
      <c r="A88" s="9">
        <v>45750</v>
      </c>
      <c r="B88" t="s">
        <v>6</v>
      </c>
      <c r="C88" t="s">
        <v>7</v>
      </c>
      <c r="D88" t="s">
        <v>17</v>
      </c>
      <c r="E88" s="20">
        <v>41810</v>
      </c>
    </row>
    <row r="89" spans="1:5" x14ac:dyDescent="0.3">
      <c r="A89" s="9">
        <v>45699</v>
      </c>
      <c r="B89" t="s">
        <v>6</v>
      </c>
      <c r="C89" t="s">
        <v>14</v>
      </c>
      <c r="D89" t="s">
        <v>44</v>
      </c>
      <c r="E89" s="20">
        <v>21741</v>
      </c>
    </row>
    <row r="90" spans="1:5" x14ac:dyDescent="0.3">
      <c r="A90" s="9">
        <v>45775</v>
      </c>
      <c r="B90" t="s">
        <v>6</v>
      </c>
      <c r="C90" t="s">
        <v>7</v>
      </c>
      <c r="D90" t="s">
        <v>17</v>
      </c>
      <c r="E90" s="20">
        <v>11886</v>
      </c>
    </row>
    <row r="91" spans="1:5" x14ac:dyDescent="0.3">
      <c r="A91" s="9">
        <v>45785</v>
      </c>
      <c r="B91" t="s">
        <v>6</v>
      </c>
      <c r="C91" t="s">
        <v>61</v>
      </c>
      <c r="D91" t="s">
        <v>60</v>
      </c>
      <c r="E91" s="20">
        <v>12271</v>
      </c>
    </row>
    <row r="92" spans="1:5" x14ac:dyDescent="0.3">
      <c r="A92" s="9">
        <v>45664</v>
      </c>
      <c r="B92" t="s">
        <v>6</v>
      </c>
      <c r="C92" t="s">
        <v>61</v>
      </c>
      <c r="D92" t="s">
        <v>60</v>
      </c>
      <c r="E92" s="20">
        <v>3223</v>
      </c>
    </row>
    <row r="93" spans="1:5" x14ac:dyDescent="0.3">
      <c r="A93" s="9">
        <v>45730</v>
      </c>
      <c r="B93" t="s">
        <v>6</v>
      </c>
      <c r="C93" t="s">
        <v>61</v>
      </c>
      <c r="D93" t="s">
        <v>74</v>
      </c>
      <c r="E93" s="20">
        <v>36710</v>
      </c>
    </row>
    <row r="94" spans="1:5" x14ac:dyDescent="0.3">
      <c r="A94" s="9">
        <v>45792</v>
      </c>
      <c r="B94" t="s">
        <v>6</v>
      </c>
      <c r="C94" t="s">
        <v>12</v>
      </c>
      <c r="D94" t="s">
        <v>63</v>
      </c>
      <c r="E94" s="20">
        <v>3641</v>
      </c>
    </row>
    <row r="95" spans="1:5" x14ac:dyDescent="0.3">
      <c r="A95" s="9">
        <v>45687</v>
      </c>
      <c r="B95" t="s">
        <v>6</v>
      </c>
      <c r="C95" t="s">
        <v>14</v>
      </c>
      <c r="D95" t="s">
        <v>44</v>
      </c>
      <c r="E95" s="20">
        <v>7997</v>
      </c>
    </row>
    <row r="96" spans="1:5" x14ac:dyDescent="0.3">
      <c r="A96" s="9">
        <v>45694</v>
      </c>
      <c r="B96" t="s">
        <v>6</v>
      </c>
      <c r="C96" t="s">
        <v>14</v>
      </c>
      <c r="D96" t="s">
        <v>44</v>
      </c>
      <c r="E96" s="20">
        <v>9993</v>
      </c>
    </row>
    <row r="97" spans="1:5" x14ac:dyDescent="0.3">
      <c r="A97" s="9">
        <v>45768</v>
      </c>
      <c r="B97" t="s">
        <v>6</v>
      </c>
      <c r="C97" t="s">
        <v>12</v>
      </c>
      <c r="D97" t="s">
        <v>11</v>
      </c>
      <c r="E97" s="20">
        <v>22072</v>
      </c>
    </row>
    <row r="98" spans="1:5" x14ac:dyDescent="0.3">
      <c r="A98" s="9">
        <v>45806</v>
      </c>
      <c r="B98" t="s">
        <v>6</v>
      </c>
      <c r="C98" t="s">
        <v>24</v>
      </c>
      <c r="D98" t="s">
        <v>82</v>
      </c>
      <c r="E98" s="20">
        <v>20766</v>
      </c>
    </row>
    <row r="99" spans="1:5" x14ac:dyDescent="0.3">
      <c r="A99" s="9">
        <v>45790</v>
      </c>
      <c r="B99" t="s">
        <v>6</v>
      </c>
      <c r="C99" t="s">
        <v>24</v>
      </c>
      <c r="D99" t="s">
        <v>23</v>
      </c>
      <c r="E99" s="20">
        <v>41397</v>
      </c>
    </row>
    <row r="100" spans="1:5" x14ac:dyDescent="0.3">
      <c r="A100" s="9">
        <v>45671</v>
      </c>
      <c r="B100" t="s">
        <v>6</v>
      </c>
      <c r="C100" t="s">
        <v>24</v>
      </c>
      <c r="D100" t="s">
        <v>82</v>
      </c>
      <c r="E100" s="20">
        <v>42774</v>
      </c>
    </row>
    <row r="101" spans="1:5" x14ac:dyDescent="0.3">
      <c r="A101" s="9">
        <v>45711</v>
      </c>
      <c r="B101" t="s">
        <v>6</v>
      </c>
      <c r="C101" t="s">
        <v>12</v>
      </c>
      <c r="D101" t="s">
        <v>29</v>
      </c>
      <c r="E101" s="20">
        <v>23532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442A-E421-4AE9-BC41-852E43C37779}">
  <sheetPr codeName="Sheet3">
    <tabColor theme="5" tint="-0.249977111117893"/>
  </sheetPr>
  <dimension ref="A1:E352"/>
  <sheetViews>
    <sheetView topLeftCell="A2" workbookViewId="0">
      <selection activeCell="D18" sqref="D18"/>
    </sheetView>
  </sheetViews>
  <sheetFormatPr defaultRowHeight="14.4" x14ac:dyDescent="0.3"/>
  <cols>
    <col min="1" max="1" width="10.33203125" bestFit="1" customWidth="1"/>
    <col min="2" max="2" width="7.6640625" bestFit="1" customWidth="1"/>
    <col min="3" max="3" width="13.5546875" bestFit="1" customWidth="1"/>
    <col min="4" max="4" width="14.77734375" bestFit="1" customWidth="1"/>
    <col min="5" max="5" width="10.44140625" bestFit="1" customWidth="1"/>
  </cols>
  <sheetData>
    <row r="1" spans="1:5" x14ac:dyDescent="0.3">
      <c r="A1" t="s">
        <v>0</v>
      </c>
      <c r="B1" t="s">
        <v>3</v>
      </c>
      <c r="C1" t="s">
        <v>4</v>
      </c>
      <c r="D1" t="s">
        <v>2</v>
      </c>
      <c r="E1" s="20" t="s">
        <v>1</v>
      </c>
    </row>
    <row r="2" spans="1:5" x14ac:dyDescent="0.3">
      <c r="A2" s="9">
        <v>45777</v>
      </c>
      <c r="B2" t="s">
        <v>6</v>
      </c>
      <c r="C2" t="s">
        <v>7</v>
      </c>
      <c r="D2" t="s">
        <v>5</v>
      </c>
      <c r="E2" s="20">
        <v>38211</v>
      </c>
    </row>
    <row r="3" spans="1:5" x14ac:dyDescent="0.3">
      <c r="A3" s="9">
        <v>45815</v>
      </c>
      <c r="B3" t="s">
        <v>9</v>
      </c>
      <c r="C3" t="s">
        <v>10</v>
      </c>
      <c r="D3" t="s">
        <v>8</v>
      </c>
      <c r="E3" s="20">
        <v>2941</v>
      </c>
    </row>
    <row r="4" spans="1:5" x14ac:dyDescent="0.3">
      <c r="A4" s="9">
        <v>45786</v>
      </c>
      <c r="B4" t="s">
        <v>6</v>
      </c>
      <c r="C4" t="s">
        <v>12</v>
      </c>
      <c r="D4" t="s">
        <v>11</v>
      </c>
      <c r="E4" s="20">
        <v>30867</v>
      </c>
    </row>
    <row r="5" spans="1:5" x14ac:dyDescent="0.3">
      <c r="A5" s="9">
        <v>45671</v>
      </c>
      <c r="B5" t="s">
        <v>6</v>
      </c>
      <c r="C5" t="s">
        <v>14</v>
      </c>
      <c r="D5" t="s">
        <v>13</v>
      </c>
      <c r="E5" s="20">
        <v>20234</v>
      </c>
    </row>
    <row r="6" spans="1:5" x14ac:dyDescent="0.3">
      <c r="A6" s="9">
        <v>45826</v>
      </c>
      <c r="B6" t="s">
        <v>9</v>
      </c>
      <c r="C6" t="s">
        <v>16</v>
      </c>
      <c r="D6" t="s">
        <v>15</v>
      </c>
      <c r="E6" s="20">
        <v>9800</v>
      </c>
    </row>
    <row r="7" spans="1:5" x14ac:dyDescent="0.3">
      <c r="A7" s="9">
        <v>45821</v>
      </c>
      <c r="B7" t="s">
        <v>6</v>
      </c>
      <c r="C7" t="s">
        <v>7</v>
      </c>
      <c r="D7" t="s">
        <v>17</v>
      </c>
      <c r="E7" s="20">
        <v>19398</v>
      </c>
    </row>
    <row r="8" spans="1:5" x14ac:dyDescent="0.3">
      <c r="A8" s="9">
        <v>45723</v>
      </c>
      <c r="B8" t="s">
        <v>9</v>
      </c>
      <c r="C8" t="s">
        <v>19</v>
      </c>
      <c r="D8" t="s">
        <v>18</v>
      </c>
      <c r="E8" s="20">
        <v>3341</v>
      </c>
    </row>
    <row r="9" spans="1:5" x14ac:dyDescent="0.3">
      <c r="A9" s="9">
        <v>45822</v>
      </c>
      <c r="B9" t="s">
        <v>9</v>
      </c>
      <c r="C9" t="s">
        <v>21</v>
      </c>
      <c r="D9" t="s">
        <v>20</v>
      </c>
      <c r="E9" s="20">
        <v>17385</v>
      </c>
    </row>
    <row r="10" spans="1:5" x14ac:dyDescent="0.3">
      <c r="A10" s="9">
        <v>45689</v>
      </c>
      <c r="B10" t="s">
        <v>9</v>
      </c>
      <c r="C10" t="s">
        <v>16</v>
      </c>
      <c r="D10" t="s">
        <v>22</v>
      </c>
      <c r="E10" s="20">
        <v>8257</v>
      </c>
    </row>
    <row r="11" spans="1:5" x14ac:dyDescent="0.3">
      <c r="A11" s="9">
        <v>45731</v>
      </c>
      <c r="B11" t="s">
        <v>9</v>
      </c>
      <c r="C11" t="s">
        <v>16</v>
      </c>
      <c r="D11" t="s">
        <v>15</v>
      </c>
      <c r="E11" s="20">
        <v>6142</v>
      </c>
    </row>
    <row r="12" spans="1:5" x14ac:dyDescent="0.3">
      <c r="A12" s="9">
        <v>45813</v>
      </c>
      <c r="B12" t="s">
        <v>6</v>
      </c>
      <c r="C12" t="s">
        <v>24</v>
      </c>
      <c r="D12" t="s">
        <v>23</v>
      </c>
      <c r="E12" s="20">
        <v>21787</v>
      </c>
    </row>
    <row r="13" spans="1:5" x14ac:dyDescent="0.3">
      <c r="A13" s="9">
        <v>45781</v>
      </c>
      <c r="B13" t="s">
        <v>9</v>
      </c>
      <c r="C13" t="s">
        <v>26</v>
      </c>
      <c r="D13" t="s">
        <v>25</v>
      </c>
      <c r="E13" s="20">
        <v>8150</v>
      </c>
    </row>
    <row r="14" spans="1:5" x14ac:dyDescent="0.3">
      <c r="A14" s="9">
        <v>45662</v>
      </c>
      <c r="B14" t="s">
        <v>9</v>
      </c>
      <c r="C14" t="s">
        <v>28</v>
      </c>
      <c r="D14" t="s">
        <v>27</v>
      </c>
      <c r="E14" s="20">
        <v>11242</v>
      </c>
    </row>
    <row r="15" spans="1:5" x14ac:dyDescent="0.3">
      <c r="A15" s="9">
        <v>45727</v>
      </c>
      <c r="B15" t="s">
        <v>6</v>
      </c>
      <c r="C15" t="s">
        <v>24</v>
      </c>
      <c r="D15" t="s">
        <v>23</v>
      </c>
      <c r="E15" s="20">
        <v>38422</v>
      </c>
    </row>
    <row r="16" spans="1:5" x14ac:dyDescent="0.3">
      <c r="A16" s="9">
        <v>45693</v>
      </c>
      <c r="B16" t="s">
        <v>6</v>
      </c>
      <c r="C16" t="s">
        <v>12</v>
      </c>
      <c r="D16" t="s">
        <v>29</v>
      </c>
      <c r="E16" s="20">
        <v>3606</v>
      </c>
    </row>
    <row r="17" spans="1:5" x14ac:dyDescent="0.3">
      <c r="A17" s="9">
        <v>45730</v>
      </c>
      <c r="B17" t="s">
        <v>9</v>
      </c>
      <c r="C17" t="s">
        <v>26</v>
      </c>
      <c r="D17" t="s">
        <v>30</v>
      </c>
      <c r="E17" s="20">
        <v>18810</v>
      </c>
    </row>
    <row r="18" spans="1:5" x14ac:dyDescent="0.3">
      <c r="A18" s="9">
        <v>45726</v>
      </c>
      <c r="B18" t="s">
        <v>9</v>
      </c>
      <c r="C18" t="s">
        <v>26</v>
      </c>
      <c r="D18" t="s">
        <v>31</v>
      </c>
      <c r="E18" s="20">
        <v>6035</v>
      </c>
    </row>
    <row r="19" spans="1:5" x14ac:dyDescent="0.3">
      <c r="A19" s="9">
        <v>45760</v>
      </c>
      <c r="B19" t="s">
        <v>9</v>
      </c>
      <c r="C19" t="s">
        <v>33</v>
      </c>
      <c r="D19" t="s">
        <v>32</v>
      </c>
      <c r="E19" s="20">
        <v>19162</v>
      </c>
    </row>
    <row r="20" spans="1:5" x14ac:dyDescent="0.3">
      <c r="A20" s="9">
        <v>45824</v>
      </c>
      <c r="B20" t="s">
        <v>6</v>
      </c>
      <c r="C20" t="s">
        <v>14</v>
      </c>
      <c r="D20" t="s">
        <v>13</v>
      </c>
      <c r="E20" s="20">
        <v>31442</v>
      </c>
    </row>
    <row r="21" spans="1:5" x14ac:dyDescent="0.3">
      <c r="A21" s="9">
        <v>45784</v>
      </c>
      <c r="B21" t="s">
        <v>6</v>
      </c>
      <c r="C21" t="s">
        <v>12</v>
      </c>
      <c r="D21" t="s">
        <v>29</v>
      </c>
      <c r="E21" s="20">
        <v>38022</v>
      </c>
    </row>
    <row r="22" spans="1:5" x14ac:dyDescent="0.3">
      <c r="A22" s="9">
        <v>45762</v>
      </c>
      <c r="B22" t="s">
        <v>9</v>
      </c>
      <c r="C22" t="s">
        <v>19</v>
      </c>
      <c r="D22" t="s">
        <v>34</v>
      </c>
      <c r="E22" s="20">
        <v>10158</v>
      </c>
    </row>
    <row r="23" spans="1:5" x14ac:dyDescent="0.3">
      <c r="A23" s="9">
        <v>45678</v>
      </c>
      <c r="B23" t="s">
        <v>9</v>
      </c>
      <c r="C23" t="s">
        <v>19</v>
      </c>
      <c r="D23" t="s">
        <v>34</v>
      </c>
      <c r="E23" s="20">
        <v>15743</v>
      </c>
    </row>
    <row r="24" spans="1:5" x14ac:dyDescent="0.3">
      <c r="A24" s="9">
        <v>45819</v>
      </c>
      <c r="B24" t="s">
        <v>9</v>
      </c>
      <c r="C24" t="s">
        <v>36</v>
      </c>
      <c r="D24" t="s">
        <v>35</v>
      </c>
      <c r="E24" s="20">
        <v>10471</v>
      </c>
    </row>
    <row r="25" spans="1:5" x14ac:dyDescent="0.3">
      <c r="A25" s="9">
        <v>45679</v>
      </c>
      <c r="B25" t="s">
        <v>6</v>
      </c>
      <c r="C25" t="s">
        <v>7</v>
      </c>
      <c r="D25" t="s">
        <v>17</v>
      </c>
      <c r="E25" s="20">
        <v>22199</v>
      </c>
    </row>
    <row r="26" spans="1:5" x14ac:dyDescent="0.3">
      <c r="A26" s="9">
        <v>45794</v>
      </c>
      <c r="B26" t="s">
        <v>9</v>
      </c>
      <c r="C26" t="s">
        <v>33</v>
      </c>
      <c r="D26" t="s">
        <v>37</v>
      </c>
      <c r="E26" s="20">
        <v>14619</v>
      </c>
    </row>
    <row r="27" spans="1:5" x14ac:dyDescent="0.3">
      <c r="A27" s="9">
        <v>45687</v>
      </c>
      <c r="B27" t="s">
        <v>9</v>
      </c>
      <c r="C27" t="s">
        <v>19</v>
      </c>
      <c r="D27" t="s">
        <v>18</v>
      </c>
      <c r="E27" s="20">
        <v>17757</v>
      </c>
    </row>
    <row r="28" spans="1:5" x14ac:dyDescent="0.3">
      <c r="A28" s="9">
        <v>45775</v>
      </c>
      <c r="B28" t="s">
        <v>9</v>
      </c>
      <c r="C28" t="s">
        <v>39</v>
      </c>
      <c r="D28" t="s">
        <v>38</v>
      </c>
      <c r="E28" s="20">
        <v>885</v>
      </c>
    </row>
    <row r="29" spans="1:5" x14ac:dyDescent="0.3">
      <c r="A29" s="9">
        <v>45811</v>
      </c>
      <c r="B29" t="s">
        <v>9</v>
      </c>
      <c r="C29" t="s">
        <v>33</v>
      </c>
      <c r="D29" t="s">
        <v>40</v>
      </c>
      <c r="E29" s="20">
        <v>15602</v>
      </c>
    </row>
    <row r="30" spans="1:5" x14ac:dyDescent="0.3">
      <c r="A30" s="9">
        <v>45704</v>
      </c>
      <c r="B30" t="s">
        <v>9</v>
      </c>
      <c r="C30" t="s">
        <v>21</v>
      </c>
      <c r="D30" t="s">
        <v>41</v>
      </c>
      <c r="E30" s="20">
        <v>4947</v>
      </c>
    </row>
    <row r="31" spans="1:5" x14ac:dyDescent="0.3">
      <c r="A31" s="9">
        <v>45672</v>
      </c>
      <c r="B31" t="s">
        <v>9</v>
      </c>
      <c r="C31" t="s">
        <v>16</v>
      </c>
      <c r="D31" t="s">
        <v>42</v>
      </c>
      <c r="E31" s="20">
        <v>19730</v>
      </c>
    </row>
    <row r="32" spans="1:5" x14ac:dyDescent="0.3">
      <c r="A32" s="9">
        <v>45711</v>
      </c>
      <c r="B32" t="s">
        <v>9</v>
      </c>
      <c r="C32" t="s">
        <v>19</v>
      </c>
      <c r="D32" t="s">
        <v>18</v>
      </c>
      <c r="E32" s="20">
        <v>6119</v>
      </c>
    </row>
    <row r="33" spans="1:5" x14ac:dyDescent="0.3">
      <c r="A33" s="9">
        <v>45712</v>
      </c>
      <c r="B33" t="s">
        <v>9</v>
      </c>
      <c r="C33" t="s">
        <v>39</v>
      </c>
      <c r="D33" t="s">
        <v>43</v>
      </c>
      <c r="E33" s="20">
        <v>13029</v>
      </c>
    </row>
    <row r="34" spans="1:5" x14ac:dyDescent="0.3">
      <c r="A34" s="9">
        <v>45703</v>
      </c>
      <c r="B34" t="s">
        <v>6</v>
      </c>
      <c r="C34" t="s">
        <v>14</v>
      </c>
      <c r="D34" t="s">
        <v>44</v>
      </c>
      <c r="E34" s="20">
        <v>36801</v>
      </c>
    </row>
    <row r="35" spans="1:5" x14ac:dyDescent="0.3">
      <c r="A35" s="9">
        <v>45743</v>
      </c>
      <c r="B35" t="s">
        <v>9</v>
      </c>
      <c r="C35" t="s">
        <v>16</v>
      </c>
      <c r="D35" t="s">
        <v>22</v>
      </c>
      <c r="E35" s="20">
        <v>1628</v>
      </c>
    </row>
    <row r="36" spans="1:5" x14ac:dyDescent="0.3">
      <c r="A36" s="9">
        <v>45734</v>
      </c>
      <c r="B36" t="s">
        <v>9</v>
      </c>
      <c r="C36" t="s">
        <v>10</v>
      </c>
      <c r="D36" t="s">
        <v>8</v>
      </c>
      <c r="E36" s="20">
        <v>719</v>
      </c>
    </row>
    <row r="37" spans="1:5" x14ac:dyDescent="0.3">
      <c r="A37" s="9">
        <v>45803</v>
      </c>
      <c r="B37" t="s">
        <v>9</v>
      </c>
      <c r="C37" t="s">
        <v>46</v>
      </c>
      <c r="D37" t="s">
        <v>45</v>
      </c>
      <c r="E37" s="20">
        <v>408</v>
      </c>
    </row>
    <row r="38" spans="1:5" x14ac:dyDescent="0.3">
      <c r="A38" s="9">
        <v>45685</v>
      </c>
      <c r="B38" t="s">
        <v>9</v>
      </c>
      <c r="C38" t="s">
        <v>10</v>
      </c>
      <c r="D38" t="s">
        <v>47</v>
      </c>
      <c r="E38" s="20">
        <v>8300</v>
      </c>
    </row>
    <row r="39" spans="1:5" x14ac:dyDescent="0.3">
      <c r="A39" s="9">
        <v>45713</v>
      </c>
      <c r="B39" t="s">
        <v>9</v>
      </c>
      <c r="C39" t="s">
        <v>16</v>
      </c>
      <c r="D39" t="s">
        <v>42</v>
      </c>
      <c r="E39" s="20">
        <v>19575</v>
      </c>
    </row>
    <row r="40" spans="1:5" x14ac:dyDescent="0.3">
      <c r="A40" s="9">
        <v>45741</v>
      </c>
      <c r="B40" t="s">
        <v>9</v>
      </c>
      <c r="C40" t="s">
        <v>46</v>
      </c>
      <c r="D40" t="s">
        <v>48</v>
      </c>
      <c r="E40" s="20">
        <v>3099</v>
      </c>
    </row>
    <row r="41" spans="1:5" x14ac:dyDescent="0.3">
      <c r="A41" s="9">
        <v>45717</v>
      </c>
      <c r="B41" t="s">
        <v>9</v>
      </c>
      <c r="C41" t="s">
        <v>39</v>
      </c>
      <c r="D41" t="s">
        <v>49</v>
      </c>
      <c r="E41" s="20">
        <v>1403</v>
      </c>
    </row>
    <row r="42" spans="1:5" x14ac:dyDescent="0.3">
      <c r="A42" s="9">
        <v>45762</v>
      </c>
      <c r="B42" t="s">
        <v>6</v>
      </c>
      <c r="C42" t="s">
        <v>7</v>
      </c>
      <c r="D42" t="s">
        <v>50</v>
      </c>
      <c r="E42" s="20">
        <v>28150</v>
      </c>
    </row>
    <row r="43" spans="1:5" x14ac:dyDescent="0.3">
      <c r="A43" s="9">
        <v>45701</v>
      </c>
      <c r="B43" t="s">
        <v>9</v>
      </c>
      <c r="C43" t="s">
        <v>19</v>
      </c>
      <c r="D43" t="s">
        <v>34</v>
      </c>
      <c r="E43" s="20">
        <v>14987</v>
      </c>
    </row>
    <row r="44" spans="1:5" x14ac:dyDescent="0.3">
      <c r="A44" s="9">
        <v>45720</v>
      </c>
      <c r="B44" t="s">
        <v>9</v>
      </c>
      <c r="C44" t="s">
        <v>52</v>
      </c>
      <c r="D44" t="s">
        <v>51</v>
      </c>
      <c r="E44" s="20">
        <v>16968</v>
      </c>
    </row>
    <row r="45" spans="1:5" x14ac:dyDescent="0.3">
      <c r="A45" s="9">
        <v>45709</v>
      </c>
      <c r="B45" t="s">
        <v>9</v>
      </c>
      <c r="C45" t="s">
        <v>54</v>
      </c>
      <c r="D45" t="s">
        <v>53</v>
      </c>
      <c r="E45" s="20">
        <v>5273</v>
      </c>
    </row>
    <row r="46" spans="1:5" x14ac:dyDescent="0.3">
      <c r="A46" s="9">
        <v>45695</v>
      </c>
      <c r="B46" t="s">
        <v>9</v>
      </c>
      <c r="C46" t="s">
        <v>39</v>
      </c>
      <c r="D46" t="s">
        <v>49</v>
      </c>
      <c r="E46" s="20">
        <v>14750</v>
      </c>
    </row>
    <row r="47" spans="1:5" x14ac:dyDescent="0.3">
      <c r="A47" s="9">
        <v>45693</v>
      </c>
      <c r="B47" t="s">
        <v>9</v>
      </c>
      <c r="C47" t="s">
        <v>10</v>
      </c>
      <c r="D47" t="s">
        <v>55</v>
      </c>
      <c r="E47" s="20">
        <v>12400</v>
      </c>
    </row>
    <row r="48" spans="1:5" x14ac:dyDescent="0.3">
      <c r="A48" s="9">
        <v>45799</v>
      </c>
      <c r="B48" t="s">
        <v>9</v>
      </c>
      <c r="C48" t="s">
        <v>39</v>
      </c>
      <c r="D48" t="s">
        <v>43</v>
      </c>
      <c r="E48" s="20">
        <v>12706</v>
      </c>
    </row>
    <row r="49" spans="1:5" x14ac:dyDescent="0.3">
      <c r="A49" s="9">
        <v>45788</v>
      </c>
      <c r="B49" t="s">
        <v>9</v>
      </c>
      <c r="C49" t="s">
        <v>54</v>
      </c>
      <c r="D49" t="s">
        <v>56</v>
      </c>
      <c r="E49" s="20">
        <v>11704</v>
      </c>
    </row>
    <row r="50" spans="1:5" x14ac:dyDescent="0.3">
      <c r="A50" s="9">
        <v>45759</v>
      </c>
      <c r="B50" t="s">
        <v>9</v>
      </c>
      <c r="C50" t="s">
        <v>52</v>
      </c>
      <c r="D50" t="s">
        <v>57</v>
      </c>
      <c r="E50" s="20">
        <v>18182</v>
      </c>
    </row>
    <row r="51" spans="1:5" x14ac:dyDescent="0.3">
      <c r="A51" s="9">
        <v>45820</v>
      </c>
      <c r="B51" t="s">
        <v>9</v>
      </c>
      <c r="C51" t="s">
        <v>16</v>
      </c>
      <c r="D51" t="s">
        <v>22</v>
      </c>
      <c r="E51" s="20">
        <v>5622</v>
      </c>
    </row>
    <row r="52" spans="1:5" x14ac:dyDescent="0.3">
      <c r="A52" s="9">
        <v>45752</v>
      </c>
      <c r="B52" t="s">
        <v>9</v>
      </c>
      <c r="C52" t="s">
        <v>46</v>
      </c>
      <c r="D52" t="s">
        <v>58</v>
      </c>
      <c r="E52" s="20">
        <v>783</v>
      </c>
    </row>
    <row r="53" spans="1:5" x14ac:dyDescent="0.3">
      <c r="A53" s="9">
        <v>45759</v>
      </c>
      <c r="B53" t="s">
        <v>6</v>
      </c>
      <c r="C53" t="s">
        <v>7</v>
      </c>
      <c r="D53" t="s">
        <v>5</v>
      </c>
      <c r="E53" s="20">
        <v>41463</v>
      </c>
    </row>
    <row r="54" spans="1:5" x14ac:dyDescent="0.3">
      <c r="A54" s="9">
        <v>45679</v>
      </c>
      <c r="B54" t="s">
        <v>9</v>
      </c>
      <c r="C54" t="s">
        <v>21</v>
      </c>
      <c r="D54" t="s">
        <v>59</v>
      </c>
      <c r="E54" s="20">
        <v>1062</v>
      </c>
    </row>
    <row r="55" spans="1:5" x14ac:dyDescent="0.3">
      <c r="A55" s="9">
        <v>45756</v>
      </c>
      <c r="B55" t="s">
        <v>6</v>
      </c>
      <c r="C55" t="s">
        <v>61</v>
      </c>
      <c r="D55" t="s">
        <v>60</v>
      </c>
      <c r="E55" s="20">
        <v>20054</v>
      </c>
    </row>
    <row r="56" spans="1:5" x14ac:dyDescent="0.3">
      <c r="A56" s="9">
        <v>45754</v>
      </c>
      <c r="B56" t="s">
        <v>9</v>
      </c>
      <c r="C56" t="s">
        <v>52</v>
      </c>
      <c r="D56" t="s">
        <v>62</v>
      </c>
      <c r="E56" s="20">
        <v>2768</v>
      </c>
    </row>
    <row r="57" spans="1:5" x14ac:dyDescent="0.3">
      <c r="A57" s="9">
        <v>45832</v>
      </c>
      <c r="B57" t="s">
        <v>9</v>
      </c>
      <c r="C57" t="s">
        <v>16</v>
      </c>
      <c r="D57" t="s">
        <v>15</v>
      </c>
      <c r="E57" s="20">
        <v>19345</v>
      </c>
    </row>
    <row r="58" spans="1:5" x14ac:dyDescent="0.3">
      <c r="A58" s="9">
        <v>45786</v>
      </c>
      <c r="B58" t="s">
        <v>9</v>
      </c>
      <c r="C58" t="s">
        <v>26</v>
      </c>
      <c r="D58" t="s">
        <v>30</v>
      </c>
      <c r="E58" s="20">
        <v>7170</v>
      </c>
    </row>
    <row r="59" spans="1:5" x14ac:dyDescent="0.3">
      <c r="A59" s="9">
        <v>45750</v>
      </c>
      <c r="B59" t="s">
        <v>6</v>
      </c>
      <c r="C59" t="s">
        <v>12</v>
      </c>
      <c r="D59" t="s">
        <v>63</v>
      </c>
      <c r="E59" s="20">
        <v>20187</v>
      </c>
    </row>
    <row r="60" spans="1:5" x14ac:dyDescent="0.3">
      <c r="A60" s="9">
        <v>45830</v>
      </c>
      <c r="B60" t="s">
        <v>9</v>
      </c>
      <c r="C60" t="s">
        <v>26</v>
      </c>
      <c r="D60" t="s">
        <v>31</v>
      </c>
      <c r="E60" s="20">
        <v>11804</v>
      </c>
    </row>
    <row r="61" spans="1:5" x14ac:dyDescent="0.3">
      <c r="A61" s="9">
        <v>45714</v>
      </c>
      <c r="B61" t="s">
        <v>9</v>
      </c>
      <c r="C61" t="s">
        <v>39</v>
      </c>
      <c r="D61" t="s">
        <v>43</v>
      </c>
      <c r="E61" s="20">
        <v>19873</v>
      </c>
    </row>
    <row r="62" spans="1:5" x14ac:dyDescent="0.3">
      <c r="A62" s="9">
        <v>45694</v>
      </c>
      <c r="B62" t="s">
        <v>6</v>
      </c>
      <c r="C62" t="s">
        <v>7</v>
      </c>
      <c r="D62" t="s">
        <v>5</v>
      </c>
      <c r="E62" s="20">
        <v>12413</v>
      </c>
    </row>
    <row r="63" spans="1:5" x14ac:dyDescent="0.3">
      <c r="A63" s="9">
        <v>45725</v>
      </c>
      <c r="B63" t="s">
        <v>9</v>
      </c>
      <c r="C63" t="s">
        <v>21</v>
      </c>
      <c r="D63" t="s">
        <v>20</v>
      </c>
      <c r="E63" s="20">
        <v>6264</v>
      </c>
    </row>
    <row r="64" spans="1:5" x14ac:dyDescent="0.3">
      <c r="A64" s="9">
        <v>45830</v>
      </c>
      <c r="B64" t="s">
        <v>9</v>
      </c>
      <c r="C64" t="s">
        <v>52</v>
      </c>
      <c r="D64" t="s">
        <v>62</v>
      </c>
      <c r="E64" s="20">
        <v>14993</v>
      </c>
    </row>
    <row r="65" spans="1:5" x14ac:dyDescent="0.3">
      <c r="A65" s="9">
        <v>45725</v>
      </c>
      <c r="B65" t="s">
        <v>6</v>
      </c>
      <c r="C65" t="s">
        <v>61</v>
      </c>
      <c r="D65" t="s">
        <v>60</v>
      </c>
      <c r="E65" s="20">
        <v>27793</v>
      </c>
    </row>
    <row r="66" spans="1:5" x14ac:dyDescent="0.3">
      <c r="A66" s="9">
        <v>45758</v>
      </c>
      <c r="B66" t="s">
        <v>9</v>
      </c>
      <c r="C66" t="s">
        <v>46</v>
      </c>
      <c r="D66" t="s">
        <v>58</v>
      </c>
      <c r="E66" s="20">
        <v>9318</v>
      </c>
    </row>
    <row r="67" spans="1:5" x14ac:dyDescent="0.3">
      <c r="A67" s="9">
        <v>45666</v>
      </c>
      <c r="B67" t="s">
        <v>9</v>
      </c>
      <c r="C67" t="s">
        <v>26</v>
      </c>
      <c r="D67" t="s">
        <v>25</v>
      </c>
      <c r="E67" s="20">
        <v>2965</v>
      </c>
    </row>
    <row r="68" spans="1:5" x14ac:dyDescent="0.3">
      <c r="A68" s="9">
        <v>45709</v>
      </c>
      <c r="B68" t="s">
        <v>9</v>
      </c>
      <c r="C68" t="s">
        <v>39</v>
      </c>
      <c r="D68" t="s">
        <v>38</v>
      </c>
      <c r="E68" s="20">
        <v>18092</v>
      </c>
    </row>
    <row r="69" spans="1:5" x14ac:dyDescent="0.3">
      <c r="A69" s="9">
        <v>45683</v>
      </c>
      <c r="B69" t="s">
        <v>9</v>
      </c>
      <c r="C69" t="s">
        <v>10</v>
      </c>
      <c r="D69" t="s">
        <v>64</v>
      </c>
      <c r="E69" s="20">
        <v>5991</v>
      </c>
    </row>
    <row r="70" spans="1:5" x14ac:dyDescent="0.3">
      <c r="A70" s="9">
        <v>45697</v>
      </c>
      <c r="B70" t="s">
        <v>9</v>
      </c>
      <c r="C70" t="s">
        <v>26</v>
      </c>
      <c r="D70" t="s">
        <v>30</v>
      </c>
      <c r="E70" s="20">
        <v>323</v>
      </c>
    </row>
    <row r="71" spans="1:5" x14ac:dyDescent="0.3">
      <c r="A71" s="9">
        <v>45667</v>
      </c>
      <c r="B71" t="s">
        <v>9</v>
      </c>
      <c r="C71" t="s">
        <v>52</v>
      </c>
      <c r="D71" t="s">
        <v>62</v>
      </c>
      <c r="E71" s="20">
        <v>4215</v>
      </c>
    </row>
    <row r="72" spans="1:5" x14ac:dyDescent="0.3">
      <c r="A72" s="9">
        <v>45774</v>
      </c>
      <c r="B72" t="s">
        <v>6</v>
      </c>
      <c r="C72" t="s">
        <v>7</v>
      </c>
      <c r="D72" t="s">
        <v>50</v>
      </c>
      <c r="E72" s="20">
        <v>22717</v>
      </c>
    </row>
    <row r="73" spans="1:5" x14ac:dyDescent="0.3">
      <c r="A73" s="9">
        <v>45837</v>
      </c>
      <c r="B73" t="s">
        <v>9</v>
      </c>
      <c r="C73" t="s">
        <v>39</v>
      </c>
      <c r="D73" t="s">
        <v>38</v>
      </c>
      <c r="E73" s="20">
        <v>3303</v>
      </c>
    </row>
    <row r="74" spans="1:5" x14ac:dyDescent="0.3">
      <c r="A74" s="9">
        <v>45756</v>
      </c>
      <c r="B74" t="s">
        <v>9</v>
      </c>
      <c r="C74" t="s">
        <v>26</v>
      </c>
      <c r="D74" t="s">
        <v>31</v>
      </c>
      <c r="E74" s="20">
        <v>6557</v>
      </c>
    </row>
    <row r="75" spans="1:5" x14ac:dyDescent="0.3">
      <c r="A75" s="9">
        <v>45833</v>
      </c>
      <c r="B75" t="s">
        <v>6</v>
      </c>
      <c r="C75" t="s">
        <v>61</v>
      </c>
      <c r="D75" t="s">
        <v>65</v>
      </c>
      <c r="E75" s="20">
        <v>37873</v>
      </c>
    </row>
    <row r="76" spans="1:5" x14ac:dyDescent="0.3">
      <c r="A76" s="9">
        <v>45799</v>
      </c>
      <c r="B76" t="s">
        <v>6</v>
      </c>
      <c r="C76" t="s">
        <v>14</v>
      </c>
      <c r="D76" t="s">
        <v>44</v>
      </c>
      <c r="E76" s="20">
        <v>13257</v>
      </c>
    </row>
    <row r="77" spans="1:5" x14ac:dyDescent="0.3">
      <c r="A77" s="9">
        <v>45668</v>
      </c>
      <c r="B77" t="s">
        <v>6</v>
      </c>
      <c r="C77" t="s">
        <v>14</v>
      </c>
      <c r="D77" t="s">
        <v>44</v>
      </c>
      <c r="E77" s="20">
        <v>8880</v>
      </c>
    </row>
    <row r="78" spans="1:5" x14ac:dyDescent="0.3">
      <c r="A78" s="9">
        <v>45732</v>
      </c>
      <c r="B78" t="s">
        <v>9</v>
      </c>
      <c r="C78" t="s">
        <v>39</v>
      </c>
      <c r="D78" t="s">
        <v>38</v>
      </c>
      <c r="E78" s="20">
        <v>1702</v>
      </c>
    </row>
    <row r="79" spans="1:5" x14ac:dyDescent="0.3">
      <c r="A79" s="9">
        <v>45700</v>
      </c>
      <c r="B79" t="s">
        <v>9</v>
      </c>
      <c r="C79" t="s">
        <v>36</v>
      </c>
      <c r="D79" t="s">
        <v>66</v>
      </c>
      <c r="E79" s="20">
        <v>7151</v>
      </c>
    </row>
    <row r="80" spans="1:5" x14ac:dyDescent="0.3">
      <c r="A80" s="9">
        <v>45740</v>
      </c>
      <c r="B80" t="s">
        <v>9</v>
      </c>
      <c r="C80" t="s">
        <v>16</v>
      </c>
      <c r="D80" t="s">
        <v>42</v>
      </c>
      <c r="E80" s="20">
        <v>13945</v>
      </c>
    </row>
    <row r="81" spans="1:5" x14ac:dyDescent="0.3">
      <c r="A81" s="9">
        <v>45803</v>
      </c>
      <c r="B81" t="s">
        <v>9</v>
      </c>
      <c r="C81" t="s">
        <v>46</v>
      </c>
      <c r="D81" t="s">
        <v>48</v>
      </c>
      <c r="E81" s="20">
        <v>16658</v>
      </c>
    </row>
    <row r="82" spans="1:5" x14ac:dyDescent="0.3">
      <c r="A82" s="9">
        <v>45802</v>
      </c>
      <c r="B82" t="s">
        <v>9</v>
      </c>
      <c r="C82" t="s">
        <v>52</v>
      </c>
      <c r="D82" t="s">
        <v>51</v>
      </c>
      <c r="E82" s="20">
        <v>14786</v>
      </c>
    </row>
    <row r="83" spans="1:5" x14ac:dyDescent="0.3">
      <c r="A83" s="9">
        <v>45671</v>
      </c>
      <c r="B83" t="s">
        <v>9</v>
      </c>
      <c r="C83" t="s">
        <v>19</v>
      </c>
      <c r="D83" t="s">
        <v>67</v>
      </c>
      <c r="E83" s="20">
        <v>2687</v>
      </c>
    </row>
    <row r="84" spans="1:5" x14ac:dyDescent="0.3">
      <c r="A84" s="9">
        <v>45713</v>
      </c>
      <c r="B84" t="s">
        <v>9</v>
      </c>
      <c r="C84" t="s">
        <v>21</v>
      </c>
      <c r="D84" t="s">
        <v>20</v>
      </c>
      <c r="E84" s="20">
        <v>4976</v>
      </c>
    </row>
    <row r="85" spans="1:5" x14ac:dyDescent="0.3">
      <c r="A85" s="9">
        <v>45695</v>
      </c>
      <c r="B85" t="s">
        <v>9</v>
      </c>
      <c r="C85" t="s">
        <v>46</v>
      </c>
      <c r="D85" t="s">
        <v>58</v>
      </c>
      <c r="E85" s="20">
        <v>18582</v>
      </c>
    </row>
    <row r="86" spans="1:5" x14ac:dyDescent="0.3">
      <c r="A86" s="9">
        <v>45692</v>
      </c>
      <c r="B86" t="s">
        <v>9</v>
      </c>
      <c r="C86" t="s">
        <v>36</v>
      </c>
      <c r="D86" t="s">
        <v>68</v>
      </c>
      <c r="E86" s="20">
        <v>9729</v>
      </c>
    </row>
    <row r="87" spans="1:5" x14ac:dyDescent="0.3">
      <c r="A87" s="9">
        <v>45659</v>
      </c>
      <c r="B87" t="s">
        <v>9</v>
      </c>
      <c r="C87" t="s">
        <v>54</v>
      </c>
      <c r="D87" t="s">
        <v>69</v>
      </c>
      <c r="E87" s="20">
        <v>1914</v>
      </c>
    </row>
    <row r="88" spans="1:5" x14ac:dyDescent="0.3">
      <c r="A88" s="9">
        <v>45680</v>
      </c>
      <c r="B88" t="s">
        <v>6</v>
      </c>
      <c r="C88" t="s">
        <v>7</v>
      </c>
      <c r="D88" t="s">
        <v>5</v>
      </c>
      <c r="E88" s="20">
        <v>33142</v>
      </c>
    </row>
    <row r="89" spans="1:5" x14ac:dyDescent="0.3">
      <c r="A89" s="9">
        <v>45746</v>
      </c>
      <c r="B89" t="s">
        <v>6</v>
      </c>
      <c r="C89" t="s">
        <v>7</v>
      </c>
      <c r="D89" t="s">
        <v>50</v>
      </c>
      <c r="E89" s="20">
        <v>8366</v>
      </c>
    </row>
    <row r="90" spans="1:5" x14ac:dyDescent="0.3">
      <c r="A90" s="9">
        <v>45807</v>
      </c>
      <c r="B90" t="s">
        <v>6</v>
      </c>
      <c r="C90" t="s">
        <v>24</v>
      </c>
      <c r="D90" t="s">
        <v>23</v>
      </c>
      <c r="E90" s="20">
        <v>29071</v>
      </c>
    </row>
    <row r="91" spans="1:5" x14ac:dyDescent="0.3">
      <c r="A91" s="9">
        <v>45791</v>
      </c>
      <c r="B91" t="s">
        <v>9</v>
      </c>
      <c r="C91" t="s">
        <v>19</v>
      </c>
      <c r="D91" t="s">
        <v>18</v>
      </c>
      <c r="E91" s="20">
        <v>14585</v>
      </c>
    </row>
    <row r="92" spans="1:5" x14ac:dyDescent="0.3">
      <c r="A92" s="9">
        <v>45724</v>
      </c>
      <c r="B92" t="s">
        <v>6</v>
      </c>
      <c r="C92" t="s">
        <v>24</v>
      </c>
      <c r="D92" t="s">
        <v>70</v>
      </c>
      <c r="E92" s="20">
        <v>7909</v>
      </c>
    </row>
    <row r="93" spans="1:5" x14ac:dyDescent="0.3">
      <c r="A93" s="9">
        <v>45766</v>
      </c>
      <c r="B93" t="s">
        <v>9</v>
      </c>
      <c r="C93" t="s">
        <v>16</v>
      </c>
      <c r="D93" t="s">
        <v>42</v>
      </c>
      <c r="E93" s="20">
        <v>13837</v>
      </c>
    </row>
    <row r="94" spans="1:5" x14ac:dyDescent="0.3">
      <c r="A94" s="9">
        <v>45699</v>
      </c>
      <c r="B94" t="s">
        <v>9</v>
      </c>
      <c r="C94" t="s">
        <v>16</v>
      </c>
      <c r="D94" t="s">
        <v>15</v>
      </c>
      <c r="E94" s="20">
        <v>3005</v>
      </c>
    </row>
    <row r="95" spans="1:5" x14ac:dyDescent="0.3">
      <c r="A95" s="9">
        <v>45810</v>
      </c>
      <c r="B95" t="s">
        <v>9</v>
      </c>
      <c r="C95" t="s">
        <v>21</v>
      </c>
      <c r="D95" t="s">
        <v>59</v>
      </c>
      <c r="E95" s="20">
        <v>10671</v>
      </c>
    </row>
    <row r="96" spans="1:5" x14ac:dyDescent="0.3">
      <c r="A96" s="9">
        <v>45747</v>
      </c>
      <c r="B96" t="s">
        <v>9</v>
      </c>
      <c r="C96" t="s">
        <v>52</v>
      </c>
      <c r="D96" t="s">
        <v>51</v>
      </c>
      <c r="E96" s="20">
        <v>15416</v>
      </c>
    </row>
    <row r="97" spans="1:5" x14ac:dyDescent="0.3">
      <c r="A97" s="9">
        <v>45741</v>
      </c>
      <c r="B97" t="s">
        <v>9</v>
      </c>
      <c r="C97" t="s">
        <v>26</v>
      </c>
      <c r="D97" t="s">
        <v>25</v>
      </c>
      <c r="E97" s="20">
        <v>6951</v>
      </c>
    </row>
    <row r="98" spans="1:5" x14ac:dyDescent="0.3">
      <c r="A98" s="9">
        <v>45706</v>
      </c>
      <c r="B98" t="s">
        <v>9</v>
      </c>
      <c r="C98" t="s">
        <v>46</v>
      </c>
      <c r="D98" t="s">
        <v>45</v>
      </c>
      <c r="E98" s="20">
        <v>10113</v>
      </c>
    </row>
    <row r="99" spans="1:5" x14ac:dyDescent="0.3">
      <c r="A99" s="9">
        <v>45800</v>
      </c>
      <c r="B99" t="s">
        <v>9</v>
      </c>
      <c r="C99" t="s">
        <v>46</v>
      </c>
      <c r="D99" t="s">
        <v>45</v>
      </c>
      <c r="E99" s="20">
        <v>2882</v>
      </c>
    </row>
    <row r="100" spans="1:5" x14ac:dyDescent="0.3">
      <c r="A100" s="9">
        <v>45823</v>
      </c>
      <c r="B100" t="s">
        <v>9</v>
      </c>
      <c r="C100" t="s">
        <v>28</v>
      </c>
      <c r="D100" t="s">
        <v>71</v>
      </c>
      <c r="E100" s="20">
        <v>5488</v>
      </c>
    </row>
    <row r="101" spans="1:5" x14ac:dyDescent="0.3">
      <c r="A101" s="9">
        <v>45683</v>
      </c>
      <c r="B101" t="s">
        <v>9</v>
      </c>
      <c r="C101" t="s">
        <v>21</v>
      </c>
      <c r="D101" t="s">
        <v>59</v>
      </c>
      <c r="E101" s="20">
        <v>15883</v>
      </c>
    </row>
    <row r="102" spans="1:5" x14ac:dyDescent="0.3">
      <c r="A102" s="9">
        <v>45676</v>
      </c>
      <c r="B102" t="s">
        <v>9</v>
      </c>
      <c r="C102" t="s">
        <v>10</v>
      </c>
      <c r="D102" t="s">
        <v>64</v>
      </c>
      <c r="E102" s="20">
        <v>11553</v>
      </c>
    </row>
    <row r="103" spans="1:5" x14ac:dyDescent="0.3">
      <c r="A103" s="9">
        <v>45797</v>
      </c>
      <c r="B103" t="s">
        <v>6</v>
      </c>
      <c r="C103" t="s">
        <v>12</v>
      </c>
      <c r="D103" t="s">
        <v>63</v>
      </c>
      <c r="E103" s="20">
        <v>43459</v>
      </c>
    </row>
    <row r="104" spans="1:5" x14ac:dyDescent="0.3">
      <c r="A104" s="9">
        <v>45674</v>
      </c>
      <c r="B104" t="s">
        <v>9</v>
      </c>
      <c r="C104" t="s">
        <v>52</v>
      </c>
      <c r="D104" t="s">
        <v>51</v>
      </c>
      <c r="E104" s="20">
        <v>10040</v>
      </c>
    </row>
    <row r="105" spans="1:5" x14ac:dyDescent="0.3">
      <c r="A105" s="9">
        <v>45719</v>
      </c>
      <c r="B105" t="s">
        <v>9</v>
      </c>
      <c r="C105" t="s">
        <v>54</v>
      </c>
      <c r="D105" t="s">
        <v>72</v>
      </c>
      <c r="E105" s="20">
        <v>14536</v>
      </c>
    </row>
    <row r="106" spans="1:5" x14ac:dyDescent="0.3">
      <c r="A106" s="9">
        <v>45827</v>
      </c>
      <c r="B106" t="s">
        <v>6</v>
      </c>
      <c r="C106" t="s">
        <v>61</v>
      </c>
      <c r="D106" t="s">
        <v>60</v>
      </c>
      <c r="E106" s="20">
        <v>13255</v>
      </c>
    </row>
    <row r="107" spans="1:5" x14ac:dyDescent="0.3">
      <c r="A107" s="9">
        <v>45691</v>
      </c>
      <c r="B107" t="s">
        <v>9</v>
      </c>
      <c r="C107" t="s">
        <v>10</v>
      </c>
      <c r="D107" t="s">
        <v>64</v>
      </c>
      <c r="E107" s="20">
        <v>11999</v>
      </c>
    </row>
    <row r="108" spans="1:5" x14ac:dyDescent="0.3">
      <c r="A108" s="9">
        <v>45661</v>
      </c>
      <c r="B108" t="s">
        <v>6</v>
      </c>
      <c r="C108" t="s">
        <v>7</v>
      </c>
      <c r="D108" t="s">
        <v>50</v>
      </c>
      <c r="E108" s="20">
        <v>39716</v>
      </c>
    </row>
    <row r="109" spans="1:5" x14ac:dyDescent="0.3">
      <c r="A109" s="9">
        <v>45785</v>
      </c>
      <c r="B109" t="s">
        <v>9</v>
      </c>
      <c r="C109" t="s">
        <v>46</v>
      </c>
      <c r="D109" t="s">
        <v>73</v>
      </c>
      <c r="E109" s="20">
        <v>16821</v>
      </c>
    </row>
    <row r="110" spans="1:5" x14ac:dyDescent="0.3">
      <c r="A110" s="9">
        <v>45731</v>
      </c>
      <c r="B110" t="s">
        <v>6</v>
      </c>
      <c r="C110" t="s">
        <v>24</v>
      </c>
      <c r="D110" t="s">
        <v>23</v>
      </c>
      <c r="E110" s="20">
        <v>23314</v>
      </c>
    </row>
    <row r="111" spans="1:5" x14ac:dyDescent="0.3">
      <c r="A111" s="9">
        <v>45740</v>
      </c>
      <c r="B111" t="s">
        <v>6</v>
      </c>
      <c r="C111" t="s">
        <v>12</v>
      </c>
      <c r="D111" t="s">
        <v>63</v>
      </c>
      <c r="E111" s="20">
        <v>27999</v>
      </c>
    </row>
    <row r="112" spans="1:5" x14ac:dyDescent="0.3">
      <c r="A112" s="9">
        <v>45741</v>
      </c>
      <c r="B112" t="s">
        <v>6</v>
      </c>
      <c r="C112" t="s">
        <v>61</v>
      </c>
      <c r="D112" t="s">
        <v>74</v>
      </c>
      <c r="E112" s="20">
        <v>41896</v>
      </c>
    </row>
    <row r="113" spans="1:5" x14ac:dyDescent="0.3">
      <c r="A113" s="9">
        <v>45658</v>
      </c>
      <c r="B113" t="s">
        <v>6</v>
      </c>
      <c r="C113" t="s">
        <v>7</v>
      </c>
      <c r="D113" t="s">
        <v>17</v>
      </c>
      <c r="E113" s="20">
        <v>38035</v>
      </c>
    </row>
    <row r="114" spans="1:5" x14ac:dyDescent="0.3">
      <c r="A114" s="9">
        <v>45823</v>
      </c>
      <c r="B114" t="s">
        <v>9</v>
      </c>
      <c r="C114" t="s">
        <v>26</v>
      </c>
      <c r="D114" t="s">
        <v>31</v>
      </c>
      <c r="E114" s="20">
        <v>8918</v>
      </c>
    </row>
    <row r="115" spans="1:5" x14ac:dyDescent="0.3">
      <c r="A115" s="9">
        <v>45751</v>
      </c>
      <c r="B115" t="s">
        <v>6</v>
      </c>
      <c r="C115" t="s">
        <v>7</v>
      </c>
      <c r="D115" t="s">
        <v>17</v>
      </c>
      <c r="E115" s="20">
        <v>33114</v>
      </c>
    </row>
    <row r="116" spans="1:5" x14ac:dyDescent="0.3">
      <c r="A116" s="9">
        <v>45811</v>
      </c>
      <c r="B116" t="s">
        <v>9</v>
      </c>
      <c r="C116" t="s">
        <v>10</v>
      </c>
      <c r="D116" t="s">
        <v>47</v>
      </c>
      <c r="E116" s="20">
        <v>14270</v>
      </c>
    </row>
    <row r="117" spans="1:5" x14ac:dyDescent="0.3">
      <c r="A117" s="9">
        <v>45765</v>
      </c>
      <c r="B117" t="s">
        <v>9</v>
      </c>
      <c r="C117" t="s">
        <v>28</v>
      </c>
      <c r="D117" t="s">
        <v>75</v>
      </c>
      <c r="E117" s="20">
        <v>7375</v>
      </c>
    </row>
    <row r="118" spans="1:5" x14ac:dyDescent="0.3">
      <c r="A118" s="9">
        <v>45819</v>
      </c>
      <c r="B118" t="s">
        <v>9</v>
      </c>
      <c r="C118" t="s">
        <v>16</v>
      </c>
      <c r="D118" t="s">
        <v>22</v>
      </c>
      <c r="E118" s="20">
        <v>9612</v>
      </c>
    </row>
    <row r="119" spans="1:5" x14ac:dyDescent="0.3">
      <c r="A119" s="9">
        <v>45740</v>
      </c>
      <c r="B119" t="s">
        <v>9</v>
      </c>
      <c r="C119" t="s">
        <v>16</v>
      </c>
      <c r="D119" t="s">
        <v>76</v>
      </c>
      <c r="E119" s="20">
        <v>4810</v>
      </c>
    </row>
    <row r="120" spans="1:5" x14ac:dyDescent="0.3">
      <c r="A120" s="9">
        <v>45701</v>
      </c>
      <c r="B120" t="s">
        <v>6</v>
      </c>
      <c r="C120" t="s">
        <v>7</v>
      </c>
      <c r="D120" t="s">
        <v>5</v>
      </c>
      <c r="E120" s="20">
        <v>48094</v>
      </c>
    </row>
    <row r="121" spans="1:5" x14ac:dyDescent="0.3">
      <c r="A121" s="9">
        <v>45732</v>
      </c>
      <c r="B121" t="s">
        <v>6</v>
      </c>
      <c r="C121" t="s">
        <v>14</v>
      </c>
      <c r="D121" t="s">
        <v>13</v>
      </c>
      <c r="E121" s="20">
        <v>39450</v>
      </c>
    </row>
    <row r="122" spans="1:5" x14ac:dyDescent="0.3">
      <c r="A122" s="9">
        <v>45697</v>
      </c>
      <c r="B122" t="s">
        <v>6</v>
      </c>
      <c r="C122" t="s">
        <v>7</v>
      </c>
      <c r="D122" t="s">
        <v>17</v>
      </c>
      <c r="E122" s="20">
        <v>44675</v>
      </c>
    </row>
    <row r="123" spans="1:5" x14ac:dyDescent="0.3">
      <c r="A123" s="9">
        <v>45714</v>
      </c>
      <c r="B123" t="s">
        <v>9</v>
      </c>
      <c r="C123" t="s">
        <v>36</v>
      </c>
      <c r="D123" t="s">
        <v>35</v>
      </c>
      <c r="E123" s="20">
        <v>4836</v>
      </c>
    </row>
    <row r="124" spans="1:5" x14ac:dyDescent="0.3">
      <c r="A124" s="9">
        <v>45739</v>
      </c>
      <c r="B124" t="s">
        <v>9</v>
      </c>
      <c r="C124" t="s">
        <v>10</v>
      </c>
      <c r="D124" t="s">
        <v>55</v>
      </c>
      <c r="E124" s="20">
        <v>4772</v>
      </c>
    </row>
    <row r="125" spans="1:5" x14ac:dyDescent="0.3">
      <c r="A125" s="9">
        <v>45726</v>
      </c>
      <c r="B125" t="s">
        <v>9</v>
      </c>
      <c r="C125" t="s">
        <v>52</v>
      </c>
      <c r="D125" t="s">
        <v>62</v>
      </c>
      <c r="E125" s="20">
        <v>7471</v>
      </c>
    </row>
    <row r="126" spans="1:5" x14ac:dyDescent="0.3">
      <c r="A126" s="9">
        <v>45828</v>
      </c>
      <c r="B126" t="s">
        <v>9</v>
      </c>
      <c r="C126" t="s">
        <v>28</v>
      </c>
      <c r="D126" t="s">
        <v>77</v>
      </c>
      <c r="E126" s="20">
        <v>3554</v>
      </c>
    </row>
    <row r="127" spans="1:5" x14ac:dyDescent="0.3">
      <c r="A127" s="9">
        <v>45744</v>
      </c>
      <c r="B127" t="s">
        <v>9</v>
      </c>
      <c r="C127" t="s">
        <v>54</v>
      </c>
      <c r="D127" t="s">
        <v>56</v>
      </c>
      <c r="E127" s="20">
        <v>13923</v>
      </c>
    </row>
    <row r="128" spans="1:5" x14ac:dyDescent="0.3">
      <c r="A128" s="9">
        <v>45708</v>
      </c>
      <c r="B128" t="s">
        <v>9</v>
      </c>
      <c r="C128" t="s">
        <v>36</v>
      </c>
      <c r="D128" t="s">
        <v>35</v>
      </c>
      <c r="E128" s="20">
        <v>3005</v>
      </c>
    </row>
    <row r="129" spans="1:5" x14ac:dyDescent="0.3">
      <c r="A129" s="9">
        <v>45736</v>
      </c>
      <c r="B129" t="s">
        <v>9</v>
      </c>
      <c r="C129" t="s">
        <v>16</v>
      </c>
      <c r="D129" t="s">
        <v>22</v>
      </c>
      <c r="E129" s="20">
        <v>1979</v>
      </c>
    </row>
    <row r="130" spans="1:5" x14ac:dyDescent="0.3">
      <c r="A130" s="9">
        <v>45830</v>
      </c>
      <c r="B130" t="s">
        <v>6</v>
      </c>
      <c r="C130" t="s">
        <v>14</v>
      </c>
      <c r="D130" t="s">
        <v>78</v>
      </c>
      <c r="E130" s="20">
        <v>44171</v>
      </c>
    </row>
    <row r="131" spans="1:5" x14ac:dyDescent="0.3">
      <c r="A131" s="9">
        <v>45687</v>
      </c>
      <c r="B131" t="s">
        <v>9</v>
      </c>
      <c r="C131" t="s">
        <v>21</v>
      </c>
      <c r="D131" t="s">
        <v>59</v>
      </c>
      <c r="E131" s="20">
        <v>3029</v>
      </c>
    </row>
    <row r="132" spans="1:5" x14ac:dyDescent="0.3">
      <c r="A132" s="9">
        <v>45837</v>
      </c>
      <c r="B132" t="s">
        <v>9</v>
      </c>
      <c r="C132" t="s">
        <v>36</v>
      </c>
      <c r="D132" t="s">
        <v>66</v>
      </c>
      <c r="E132" s="20">
        <v>14225</v>
      </c>
    </row>
    <row r="133" spans="1:5" x14ac:dyDescent="0.3">
      <c r="A133" s="9">
        <v>45767</v>
      </c>
      <c r="B133" t="s">
        <v>9</v>
      </c>
      <c r="C133" t="s">
        <v>16</v>
      </c>
      <c r="D133" t="s">
        <v>76</v>
      </c>
      <c r="E133" s="20">
        <v>8176</v>
      </c>
    </row>
    <row r="134" spans="1:5" x14ac:dyDescent="0.3">
      <c r="A134" s="9">
        <v>45820</v>
      </c>
      <c r="B134" t="s">
        <v>6</v>
      </c>
      <c r="C134" t="s">
        <v>12</v>
      </c>
      <c r="D134" t="s">
        <v>11</v>
      </c>
      <c r="E134" s="20">
        <v>13877</v>
      </c>
    </row>
    <row r="135" spans="1:5" x14ac:dyDescent="0.3">
      <c r="A135" s="9">
        <v>45762</v>
      </c>
      <c r="B135" t="s">
        <v>9</v>
      </c>
      <c r="C135" t="s">
        <v>16</v>
      </c>
      <c r="D135" t="s">
        <v>22</v>
      </c>
      <c r="E135" s="20">
        <v>9117</v>
      </c>
    </row>
    <row r="136" spans="1:5" x14ac:dyDescent="0.3">
      <c r="A136" s="9">
        <v>45701</v>
      </c>
      <c r="B136" t="s">
        <v>9</v>
      </c>
      <c r="C136" t="s">
        <v>46</v>
      </c>
      <c r="D136" t="s">
        <v>73</v>
      </c>
      <c r="E136" s="20">
        <v>4726</v>
      </c>
    </row>
    <row r="137" spans="1:5" x14ac:dyDescent="0.3">
      <c r="A137" s="9">
        <v>45731</v>
      </c>
      <c r="B137" t="s">
        <v>9</v>
      </c>
      <c r="C137" t="s">
        <v>39</v>
      </c>
      <c r="D137" t="s">
        <v>38</v>
      </c>
      <c r="E137" s="20">
        <v>6505</v>
      </c>
    </row>
    <row r="138" spans="1:5" x14ac:dyDescent="0.3">
      <c r="A138" s="9">
        <v>45820</v>
      </c>
      <c r="B138" t="s">
        <v>9</v>
      </c>
      <c r="C138" t="s">
        <v>33</v>
      </c>
      <c r="D138" t="s">
        <v>79</v>
      </c>
      <c r="E138" s="20">
        <v>12908</v>
      </c>
    </row>
    <row r="139" spans="1:5" x14ac:dyDescent="0.3">
      <c r="A139" s="9">
        <v>45659</v>
      </c>
      <c r="B139" t="s">
        <v>9</v>
      </c>
      <c r="C139" t="s">
        <v>19</v>
      </c>
      <c r="D139" t="s">
        <v>67</v>
      </c>
      <c r="E139" s="20">
        <v>3517</v>
      </c>
    </row>
    <row r="140" spans="1:5" x14ac:dyDescent="0.3">
      <c r="A140" s="9">
        <v>45673</v>
      </c>
      <c r="B140" t="s">
        <v>6</v>
      </c>
      <c r="C140" t="s">
        <v>12</v>
      </c>
      <c r="D140" t="s">
        <v>11</v>
      </c>
      <c r="E140" s="20">
        <v>24526</v>
      </c>
    </row>
    <row r="141" spans="1:5" x14ac:dyDescent="0.3">
      <c r="A141" s="9">
        <v>45795</v>
      </c>
      <c r="B141" t="s">
        <v>6</v>
      </c>
      <c r="C141" t="s">
        <v>12</v>
      </c>
      <c r="D141" t="s">
        <v>11</v>
      </c>
      <c r="E141" s="20">
        <v>45211</v>
      </c>
    </row>
    <row r="142" spans="1:5" x14ac:dyDescent="0.3">
      <c r="A142" s="9">
        <v>45741</v>
      </c>
      <c r="B142" t="s">
        <v>6</v>
      </c>
      <c r="C142" t="s">
        <v>12</v>
      </c>
      <c r="D142" t="s">
        <v>11</v>
      </c>
      <c r="E142" s="20">
        <v>18490</v>
      </c>
    </row>
    <row r="143" spans="1:5" x14ac:dyDescent="0.3">
      <c r="A143" s="9">
        <v>45685</v>
      </c>
      <c r="B143" t="s">
        <v>6</v>
      </c>
      <c r="C143" t="s">
        <v>14</v>
      </c>
      <c r="D143" t="s">
        <v>78</v>
      </c>
      <c r="E143" s="20">
        <v>3879</v>
      </c>
    </row>
    <row r="144" spans="1:5" x14ac:dyDescent="0.3">
      <c r="A144" s="9">
        <v>45767</v>
      </c>
      <c r="B144" t="s">
        <v>9</v>
      </c>
      <c r="C144" t="s">
        <v>39</v>
      </c>
      <c r="D144" t="s">
        <v>43</v>
      </c>
      <c r="E144" s="20">
        <v>17978</v>
      </c>
    </row>
    <row r="145" spans="1:5" x14ac:dyDescent="0.3">
      <c r="A145" s="9">
        <v>45780</v>
      </c>
      <c r="B145" t="s">
        <v>6</v>
      </c>
      <c r="C145" t="s">
        <v>14</v>
      </c>
      <c r="D145" t="s">
        <v>13</v>
      </c>
      <c r="E145" s="20">
        <v>41653</v>
      </c>
    </row>
    <row r="146" spans="1:5" x14ac:dyDescent="0.3">
      <c r="A146" s="9">
        <v>45756</v>
      </c>
      <c r="B146" t="s">
        <v>6</v>
      </c>
      <c r="C146" t="s">
        <v>7</v>
      </c>
      <c r="D146" t="s">
        <v>17</v>
      </c>
      <c r="E146" s="20">
        <v>6975</v>
      </c>
    </row>
    <row r="147" spans="1:5" x14ac:dyDescent="0.3">
      <c r="A147" s="9">
        <v>45753</v>
      </c>
      <c r="B147" t="s">
        <v>9</v>
      </c>
      <c r="C147" t="s">
        <v>21</v>
      </c>
      <c r="D147" t="s">
        <v>59</v>
      </c>
      <c r="E147" s="20">
        <v>13450</v>
      </c>
    </row>
    <row r="148" spans="1:5" x14ac:dyDescent="0.3">
      <c r="A148" s="9">
        <v>45752</v>
      </c>
      <c r="B148" t="s">
        <v>9</v>
      </c>
      <c r="C148" t="s">
        <v>26</v>
      </c>
      <c r="D148" t="s">
        <v>31</v>
      </c>
      <c r="E148" s="20">
        <v>18408</v>
      </c>
    </row>
    <row r="149" spans="1:5" x14ac:dyDescent="0.3">
      <c r="A149" s="9">
        <v>45778</v>
      </c>
      <c r="B149" t="s">
        <v>9</v>
      </c>
      <c r="C149" t="s">
        <v>46</v>
      </c>
      <c r="D149" t="s">
        <v>73</v>
      </c>
      <c r="E149" s="20">
        <v>18560</v>
      </c>
    </row>
    <row r="150" spans="1:5" x14ac:dyDescent="0.3">
      <c r="A150" s="9">
        <v>45723</v>
      </c>
      <c r="B150" t="s">
        <v>9</v>
      </c>
      <c r="C150" t="s">
        <v>19</v>
      </c>
      <c r="D150" t="s">
        <v>18</v>
      </c>
      <c r="E150" s="20">
        <v>11911</v>
      </c>
    </row>
    <row r="151" spans="1:5" x14ac:dyDescent="0.3">
      <c r="A151" s="9">
        <v>45743</v>
      </c>
      <c r="B151" t="s">
        <v>6</v>
      </c>
      <c r="C151" t="s">
        <v>61</v>
      </c>
      <c r="D151" t="s">
        <v>60</v>
      </c>
      <c r="E151" s="20">
        <v>20184</v>
      </c>
    </row>
    <row r="152" spans="1:5" x14ac:dyDescent="0.3">
      <c r="A152" s="9">
        <v>45672</v>
      </c>
      <c r="B152" t="s">
        <v>9</v>
      </c>
      <c r="C152" t="s">
        <v>21</v>
      </c>
      <c r="D152" t="s">
        <v>59</v>
      </c>
      <c r="E152" s="20">
        <v>5287</v>
      </c>
    </row>
    <row r="153" spans="1:5" x14ac:dyDescent="0.3">
      <c r="A153" s="9">
        <v>45693</v>
      </c>
      <c r="B153" t="s">
        <v>9</v>
      </c>
      <c r="C153" t="s">
        <v>10</v>
      </c>
      <c r="D153" t="s">
        <v>47</v>
      </c>
      <c r="E153" s="20">
        <v>14060</v>
      </c>
    </row>
    <row r="154" spans="1:5" x14ac:dyDescent="0.3">
      <c r="A154" s="9">
        <v>45783</v>
      </c>
      <c r="B154" t="s">
        <v>9</v>
      </c>
      <c r="C154" t="s">
        <v>28</v>
      </c>
      <c r="D154" t="s">
        <v>71</v>
      </c>
      <c r="E154" s="20">
        <v>7488</v>
      </c>
    </row>
    <row r="155" spans="1:5" x14ac:dyDescent="0.3">
      <c r="A155" s="9">
        <v>45665</v>
      </c>
      <c r="B155" t="s">
        <v>6</v>
      </c>
      <c r="C155" t="s">
        <v>12</v>
      </c>
      <c r="D155" t="s">
        <v>63</v>
      </c>
      <c r="E155" s="20">
        <v>36968</v>
      </c>
    </row>
    <row r="156" spans="1:5" x14ac:dyDescent="0.3">
      <c r="A156" s="9">
        <v>45676</v>
      </c>
      <c r="B156" t="s">
        <v>9</v>
      </c>
      <c r="C156" t="s">
        <v>28</v>
      </c>
      <c r="D156" t="s">
        <v>75</v>
      </c>
      <c r="E156" s="20">
        <v>12001</v>
      </c>
    </row>
    <row r="157" spans="1:5" x14ac:dyDescent="0.3">
      <c r="A157" s="9">
        <v>45687</v>
      </c>
      <c r="B157" t="s">
        <v>6</v>
      </c>
      <c r="C157" t="s">
        <v>24</v>
      </c>
      <c r="D157" t="s">
        <v>70</v>
      </c>
      <c r="E157" s="20">
        <v>40139</v>
      </c>
    </row>
    <row r="158" spans="1:5" x14ac:dyDescent="0.3">
      <c r="A158" s="9">
        <v>45718</v>
      </c>
      <c r="B158" t="s">
        <v>9</v>
      </c>
      <c r="C158" t="s">
        <v>39</v>
      </c>
      <c r="D158" t="s">
        <v>38</v>
      </c>
      <c r="E158" s="20">
        <v>902</v>
      </c>
    </row>
    <row r="159" spans="1:5" x14ac:dyDescent="0.3">
      <c r="A159" s="9">
        <v>45834</v>
      </c>
      <c r="B159" t="s">
        <v>6</v>
      </c>
      <c r="C159" t="s">
        <v>14</v>
      </c>
      <c r="D159" t="s">
        <v>44</v>
      </c>
      <c r="E159" s="20">
        <v>8980</v>
      </c>
    </row>
    <row r="160" spans="1:5" x14ac:dyDescent="0.3">
      <c r="A160" s="9">
        <v>45787</v>
      </c>
      <c r="B160" t="s">
        <v>9</v>
      </c>
      <c r="C160" t="s">
        <v>19</v>
      </c>
      <c r="D160" t="s">
        <v>67</v>
      </c>
      <c r="E160" s="20">
        <v>10492</v>
      </c>
    </row>
    <row r="161" spans="1:5" x14ac:dyDescent="0.3">
      <c r="A161" s="9">
        <v>45775</v>
      </c>
      <c r="B161" t="s">
        <v>9</v>
      </c>
      <c r="C161" t="s">
        <v>21</v>
      </c>
      <c r="D161" t="s">
        <v>59</v>
      </c>
      <c r="E161" s="20">
        <v>14972</v>
      </c>
    </row>
    <row r="162" spans="1:5" x14ac:dyDescent="0.3">
      <c r="A162" s="9">
        <v>45749</v>
      </c>
      <c r="B162" t="s">
        <v>9</v>
      </c>
      <c r="C162" t="s">
        <v>10</v>
      </c>
      <c r="D162" t="s">
        <v>64</v>
      </c>
      <c r="E162" s="20">
        <v>1749</v>
      </c>
    </row>
    <row r="163" spans="1:5" x14ac:dyDescent="0.3">
      <c r="A163" s="9">
        <v>45751</v>
      </c>
      <c r="B163" t="s">
        <v>9</v>
      </c>
      <c r="C163" t="s">
        <v>54</v>
      </c>
      <c r="D163" t="s">
        <v>53</v>
      </c>
      <c r="E163" s="20">
        <v>1193</v>
      </c>
    </row>
    <row r="164" spans="1:5" x14ac:dyDescent="0.3">
      <c r="A164" s="9">
        <v>45805</v>
      </c>
      <c r="B164" t="s">
        <v>9</v>
      </c>
      <c r="C164" t="s">
        <v>16</v>
      </c>
      <c r="D164" t="s">
        <v>22</v>
      </c>
      <c r="E164" s="20">
        <v>7776</v>
      </c>
    </row>
    <row r="165" spans="1:5" x14ac:dyDescent="0.3">
      <c r="A165" s="9">
        <v>45809</v>
      </c>
      <c r="B165" t="s">
        <v>9</v>
      </c>
      <c r="C165" t="s">
        <v>36</v>
      </c>
      <c r="D165" t="s">
        <v>80</v>
      </c>
      <c r="E165" s="20">
        <v>12776</v>
      </c>
    </row>
    <row r="166" spans="1:5" x14ac:dyDescent="0.3">
      <c r="A166" s="9">
        <v>45811</v>
      </c>
      <c r="B166" t="s">
        <v>9</v>
      </c>
      <c r="C166" t="s">
        <v>19</v>
      </c>
      <c r="D166" t="s">
        <v>18</v>
      </c>
      <c r="E166" s="20">
        <v>3197</v>
      </c>
    </row>
    <row r="167" spans="1:5" x14ac:dyDescent="0.3">
      <c r="A167" s="9">
        <v>45827</v>
      </c>
      <c r="B167" t="s">
        <v>9</v>
      </c>
      <c r="C167" t="s">
        <v>46</v>
      </c>
      <c r="D167" t="s">
        <v>73</v>
      </c>
      <c r="E167" s="20">
        <v>6240</v>
      </c>
    </row>
    <row r="168" spans="1:5" x14ac:dyDescent="0.3">
      <c r="A168" s="9">
        <v>45806</v>
      </c>
      <c r="B168" t="s">
        <v>9</v>
      </c>
      <c r="C168" t="s">
        <v>39</v>
      </c>
      <c r="D168" t="s">
        <v>49</v>
      </c>
      <c r="E168" s="20">
        <v>16562</v>
      </c>
    </row>
    <row r="169" spans="1:5" x14ac:dyDescent="0.3">
      <c r="A169" s="9">
        <v>45725</v>
      </c>
      <c r="B169" t="s">
        <v>6</v>
      </c>
      <c r="C169" t="s">
        <v>14</v>
      </c>
      <c r="D169" t="s">
        <v>13</v>
      </c>
      <c r="E169" s="20">
        <v>21384</v>
      </c>
    </row>
    <row r="170" spans="1:5" x14ac:dyDescent="0.3">
      <c r="A170" s="9">
        <v>45680</v>
      </c>
      <c r="B170" t="s">
        <v>9</v>
      </c>
      <c r="C170" t="s">
        <v>28</v>
      </c>
      <c r="D170" t="s">
        <v>77</v>
      </c>
      <c r="E170" s="20">
        <v>12079</v>
      </c>
    </row>
    <row r="171" spans="1:5" x14ac:dyDescent="0.3">
      <c r="A171" s="9">
        <v>45680</v>
      </c>
      <c r="B171" t="s">
        <v>9</v>
      </c>
      <c r="C171" t="s">
        <v>21</v>
      </c>
      <c r="D171" t="s">
        <v>59</v>
      </c>
      <c r="E171" s="20">
        <v>16931</v>
      </c>
    </row>
    <row r="172" spans="1:5" x14ac:dyDescent="0.3">
      <c r="A172" s="9">
        <v>45727</v>
      </c>
      <c r="B172" t="s">
        <v>6</v>
      </c>
      <c r="C172" t="s">
        <v>12</v>
      </c>
      <c r="D172" t="s">
        <v>29</v>
      </c>
      <c r="E172" s="20">
        <v>48992</v>
      </c>
    </row>
    <row r="173" spans="1:5" x14ac:dyDescent="0.3">
      <c r="A173" s="9">
        <v>45773</v>
      </c>
      <c r="B173" t="s">
        <v>6</v>
      </c>
      <c r="C173" t="s">
        <v>7</v>
      </c>
      <c r="D173" t="s">
        <v>50</v>
      </c>
      <c r="E173" s="20">
        <v>46151</v>
      </c>
    </row>
    <row r="174" spans="1:5" x14ac:dyDescent="0.3">
      <c r="A174" s="9">
        <v>45752</v>
      </c>
      <c r="B174" t="s">
        <v>6</v>
      </c>
      <c r="C174" t="s">
        <v>61</v>
      </c>
      <c r="D174" t="s">
        <v>60</v>
      </c>
      <c r="E174" s="20">
        <v>6987</v>
      </c>
    </row>
    <row r="175" spans="1:5" x14ac:dyDescent="0.3">
      <c r="A175" s="9">
        <v>45699</v>
      </c>
      <c r="B175" t="s">
        <v>9</v>
      </c>
      <c r="C175" t="s">
        <v>19</v>
      </c>
      <c r="D175" t="s">
        <v>67</v>
      </c>
      <c r="E175" s="20">
        <v>5347</v>
      </c>
    </row>
    <row r="176" spans="1:5" x14ac:dyDescent="0.3">
      <c r="A176" s="9">
        <v>45736</v>
      </c>
      <c r="B176" t="s">
        <v>9</v>
      </c>
      <c r="C176" t="s">
        <v>54</v>
      </c>
      <c r="D176" t="s">
        <v>69</v>
      </c>
      <c r="E176" s="20">
        <v>18382</v>
      </c>
    </row>
    <row r="177" spans="1:5" x14ac:dyDescent="0.3">
      <c r="A177" s="9">
        <v>45753</v>
      </c>
      <c r="B177" t="s">
        <v>9</v>
      </c>
      <c r="C177" t="s">
        <v>36</v>
      </c>
      <c r="D177" t="s">
        <v>68</v>
      </c>
      <c r="E177" s="20">
        <v>7665</v>
      </c>
    </row>
    <row r="178" spans="1:5" x14ac:dyDescent="0.3">
      <c r="A178" s="9">
        <v>45796</v>
      </c>
      <c r="B178" t="s">
        <v>9</v>
      </c>
      <c r="C178" t="s">
        <v>46</v>
      </c>
      <c r="D178" t="s">
        <v>73</v>
      </c>
      <c r="E178" s="20">
        <v>5485</v>
      </c>
    </row>
    <row r="179" spans="1:5" x14ac:dyDescent="0.3">
      <c r="A179" s="9">
        <v>45755</v>
      </c>
      <c r="B179" t="s">
        <v>9</v>
      </c>
      <c r="C179" t="s">
        <v>36</v>
      </c>
      <c r="D179" t="s">
        <v>35</v>
      </c>
      <c r="E179" s="20">
        <v>13589</v>
      </c>
    </row>
    <row r="180" spans="1:5" x14ac:dyDescent="0.3">
      <c r="A180" s="9">
        <v>45749</v>
      </c>
      <c r="B180" t="s">
        <v>9</v>
      </c>
      <c r="C180" t="s">
        <v>46</v>
      </c>
      <c r="D180" t="s">
        <v>73</v>
      </c>
      <c r="E180" s="20">
        <v>5325</v>
      </c>
    </row>
    <row r="181" spans="1:5" x14ac:dyDescent="0.3">
      <c r="A181" s="9">
        <v>45810</v>
      </c>
      <c r="B181" t="s">
        <v>9</v>
      </c>
      <c r="C181" t="s">
        <v>10</v>
      </c>
      <c r="D181" t="s">
        <v>64</v>
      </c>
      <c r="E181" s="20">
        <v>4724</v>
      </c>
    </row>
    <row r="182" spans="1:5" x14ac:dyDescent="0.3">
      <c r="A182" s="9">
        <v>45738</v>
      </c>
      <c r="B182" t="s">
        <v>6</v>
      </c>
      <c r="C182" t="s">
        <v>14</v>
      </c>
      <c r="D182" t="s">
        <v>44</v>
      </c>
      <c r="E182" s="20">
        <v>27391</v>
      </c>
    </row>
    <row r="183" spans="1:5" x14ac:dyDescent="0.3">
      <c r="A183" s="9">
        <v>45699</v>
      </c>
      <c r="B183" t="s">
        <v>9</v>
      </c>
      <c r="C183" t="s">
        <v>21</v>
      </c>
      <c r="D183" t="s">
        <v>59</v>
      </c>
      <c r="E183" s="20">
        <v>10991</v>
      </c>
    </row>
    <row r="184" spans="1:5" x14ac:dyDescent="0.3">
      <c r="A184" s="9">
        <v>45704</v>
      </c>
      <c r="B184" t="s">
        <v>9</v>
      </c>
      <c r="C184" t="s">
        <v>19</v>
      </c>
      <c r="D184" t="s">
        <v>18</v>
      </c>
      <c r="E184" s="20">
        <v>15709</v>
      </c>
    </row>
    <row r="185" spans="1:5" x14ac:dyDescent="0.3">
      <c r="A185" s="9">
        <v>45782</v>
      </c>
      <c r="B185" t="s">
        <v>9</v>
      </c>
      <c r="C185" t="s">
        <v>16</v>
      </c>
      <c r="D185" t="s">
        <v>22</v>
      </c>
      <c r="E185" s="20">
        <v>12062</v>
      </c>
    </row>
    <row r="186" spans="1:5" x14ac:dyDescent="0.3">
      <c r="A186" s="9">
        <v>45821</v>
      </c>
      <c r="B186" t="s">
        <v>9</v>
      </c>
      <c r="C186" t="s">
        <v>21</v>
      </c>
      <c r="D186" t="s">
        <v>41</v>
      </c>
      <c r="E186" s="20">
        <v>13598</v>
      </c>
    </row>
    <row r="187" spans="1:5" x14ac:dyDescent="0.3">
      <c r="A187" s="9">
        <v>45701</v>
      </c>
      <c r="B187" t="s">
        <v>9</v>
      </c>
      <c r="C187" t="s">
        <v>16</v>
      </c>
      <c r="D187" t="s">
        <v>22</v>
      </c>
      <c r="E187" s="20">
        <v>687</v>
      </c>
    </row>
    <row r="188" spans="1:5" x14ac:dyDescent="0.3">
      <c r="A188" s="9">
        <v>45775</v>
      </c>
      <c r="B188" t="s">
        <v>9</v>
      </c>
      <c r="C188" t="s">
        <v>36</v>
      </c>
      <c r="D188" t="s">
        <v>68</v>
      </c>
      <c r="E188" s="20">
        <v>14380</v>
      </c>
    </row>
    <row r="189" spans="1:5" x14ac:dyDescent="0.3">
      <c r="A189" s="9">
        <v>45780</v>
      </c>
      <c r="B189" t="s">
        <v>9</v>
      </c>
      <c r="C189" t="s">
        <v>10</v>
      </c>
      <c r="D189" t="s">
        <v>55</v>
      </c>
      <c r="E189" s="20">
        <v>8302</v>
      </c>
    </row>
    <row r="190" spans="1:5" x14ac:dyDescent="0.3">
      <c r="A190" s="9">
        <v>45723</v>
      </c>
      <c r="B190" t="s">
        <v>9</v>
      </c>
      <c r="C190" t="s">
        <v>28</v>
      </c>
      <c r="D190" t="s">
        <v>71</v>
      </c>
      <c r="E190" s="20">
        <v>6603</v>
      </c>
    </row>
    <row r="191" spans="1:5" x14ac:dyDescent="0.3">
      <c r="A191" s="9">
        <v>45688</v>
      </c>
      <c r="B191" t="s">
        <v>9</v>
      </c>
      <c r="C191" t="s">
        <v>39</v>
      </c>
      <c r="D191" t="s">
        <v>49</v>
      </c>
      <c r="E191" s="20">
        <v>14548</v>
      </c>
    </row>
    <row r="192" spans="1:5" x14ac:dyDescent="0.3">
      <c r="A192" s="9">
        <v>45731</v>
      </c>
      <c r="B192" t="s">
        <v>9</v>
      </c>
      <c r="C192" t="s">
        <v>36</v>
      </c>
      <c r="D192" t="s">
        <v>80</v>
      </c>
      <c r="E192" s="20">
        <v>8242</v>
      </c>
    </row>
    <row r="193" spans="1:5" x14ac:dyDescent="0.3">
      <c r="A193" s="9">
        <v>45746</v>
      </c>
      <c r="B193" t="s">
        <v>9</v>
      </c>
      <c r="C193" t="s">
        <v>54</v>
      </c>
      <c r="D193" t="s">
        <v>69</v>
      </c>
      <c r="E193" s="20">
        <v>5238</v>
      </c>
    </row>
    <row r="194" spans="1:5" x14ac:dyDescent="0.3">
      <c r="A194" s="9">
        <v>45711</v>
      </c>
      <c r="B194" t="s">
        <v>6</v>
      </c>
      <c r="C194" t="s">
        <v>12</v>
      </c>
      <c r="D194" t="s">
        <v>29</v>
      </c>
      <c r="E194" s="20">
        <v>15987</v>
      </c>
    </row>
    <row r="195" spans="1:5" x14ac:dyDescent="0.3">
      <c r="A195" s="9">
        <v>45798</v>
      </c>
      <c r="B195" t="s">
        <v>9</v>
      </c>
      <c r="C195" t="s">
        <v>52</v>
      </c>
      <c r="D195" t="s">
        <v>62</v>
      </c>
      <c r="E195" s="20">
        <v>14511</v>
      </c>
    </row>
    <row r="196" spans="1:5" x14ac:dyDescent="0.3">
      <c r="A196" s="9">
        <v>45825</v>
      </c>
      <c r="B196" t="s">
        <v>9</v>
      </c>
      <c r="C196" t="s">
        <v>28</v>
      </c>
      <c r="D196" t="s">
        <v>77</v>
      </c>
      <c r="E196" s="20">
        <v>2629</v>
      </c>
    </row>
    <row r="197" spans="1:5" x14ac:dyDescent="0.3">
      <c r="A197" s="9">
        <v>45718</v>
      </c>
      <c r="B197" t="s">
        <v>6</v>
      </c>
      <c r="C197" t="s">
        <v>61</v>
      </c>
      <c r="D197" t="s">
        <v>60</v>
      </c>
      <c r="E197" s="20">
        <v>20094</v>
      </c>
    </row>
    <row r="198" spans="1:5" x14ac:dyDescent="0.3">
      <c r="A198" s="9">
        <v>45765</v>
      </c>
      <c r="B198" t="s">
        <v>6</v>
      </c>
      <c r="C198" t="s">
        <v>7</v>
      </c>
      <c r="D198" t="s">
        <v>50</v>
      </c>
      <c r="E198" s="20">
        <v>16063</v>
      </c>
    </row>
    <row r="199" spans="1:5" x14ac:dyDescent="0.3">
      <c r="A199" s="9">
        <v>45756</v>
      </c>
      <c r="B199" t="s">
        <v>9</v>
      </c>
      <c r="C199" t="s">
        <v>36</v>
      </c>
      <c r="D199" t="s">
        <v>80</v>
      </c>
      <c r="E199" s="20">
        <v>17120</v>
      </c>
    </row>
    <row r="200" spans="1:5" x14ac:dyDescent="0.3">
      <c r="A200" s="9">
        <v>45835</v>
      </c>
      <c r="B200" t="s">
        <v>9</v>
      </c>
      <c r="C200" t="s">
        <v>28</v>
      </c>
      <c r="D200" t="s">
        <v>75</v>
      </c>
      <c r="E200" s="20">
        <v>10804</v>
      </c>
    </row>
    <row r="201" spans="1:5" x14ac:dyDescent="0.3">
      <c r="A201" s="9">
        <v>45741</v>
      </c>
      <c r="B201" t="s">
        <v>6</v>
      </c>
      <c r="C201" t="s">
        <v>24</v>
      </c>
      <c r="D201" t="s">
        <v>70</v>
      </c>
      <c r="E201" s="20">
        <v>33111</v>
      </c>
    </row>
    <row r="202" spans="1:5" x14ac:dyDescent="0.3">
      <c r="A202" s="9">
        <v>45835</v>
      </c>
      <c r="B202" t="s">
        <v>9</v>
      </c>
      <c r="C202" t="s">
        <v>21</v>
      </c>
      <c r="D202" t="s">
        <v>20</v>
      </c>
      <c r="E202" s="20">
        <v>3079</v>
      </c>
    </row>
    <row r="203" spans="1:5" x14ac:dyDescent="0.3">
      <c r="A203" s="9">
        <v>45817</v>
      </c>
      <c r="B203" t="s">
        <v>9</v>
      </c>
      <c r="C203" t="s">
        <v>19</v>
      </c>
      <c r="D203" t="s">
        <v>67</v>
      </c>
      <c r="E203" s="20">
        <v>18548</v>
      </c>
    </row>
    <row r="204" spans="1:5" x14ac:dyDescent="0.3">
      <c r="A204" s="9">
        <v>45749</v>
      </c>
      <c r="B204" t="s">
        <v>9</v>
      </c>
      <c r="C204" t="s">
        <v>19</v>
      </c>
      <c r="D204" t="s">
        <v>18</v>
      </c>
      <c r="E204" s="20">
        <v>16628</v>
      </c>
    </row>
    <row r="205" spans="1:5" x14ac:dyDescent="0.3">
      <c r="A205" s="9">
        <v>45791</v>
      </c>
      <c r="B205" t="s">
        <v>9</v>
      </c>
      <c r="C205" t="s">
        <v>21</v>
      </c>
      <c r="D205" t="s">
        <v>59</v>
      </c>
      <c r="E205" s="20">
        <v>614</v>
      </c>
    </row>
    <row r="206" spans="1:5" x14ac:dyDescent="0.3">
      <c r="A206" s="9">
        <v>45778</v>
      </c>
      <c r="B206" t="s">
        <v>6</v>
      </c>
      <c r="C206" t="s">
        <v>14</v>
      </c>
      <c r="D206" t="s">
        <v>44</v>
      </c>
      <c r="E206" s="20">
        <v>25995</v>
      </c>
    </row>
    <row r="207" spans="1:5" x14ac:dyDescent="0.3">
      <c r="A207" s="9">
        <v>45674</v>
      </c>
      <c r="B207" t="s">
        <v>6</v>
      </c>
      <c r="C207" t="s">
        <v>24</v>
      </c>
      <c r="D207" t="s">
        <v>23</v>
      </c>
      <c r="E207" s="20">
        <v>29140</v>
      </c>
    </row>
    <row r="208" spans="1:5" x14ac:dyDescent="0.3">
      <c r="A208" s="9">
        <v>45740</v>
      </c>
      <c r="B208" t="s">
        <v>9</v>
      </c>
      <c r="C208" t="s">
        <v>19</v>
      </c>
      <c r="D208" t="s">
        <v>18</v>
      </c>
      <c r="E208" s="20">
        <v>8997</v>
      </c>
    </row>
    <row r="209" spans="1:5" x14ac:dyDescent="0.3">
      <c r="A209" s="9">
        <v>45809</v>
      </c>
      <c r="B209" t="s">
        <v>9</v>
      </c>
      <c r="C209" t="s">
        <v>10</v>
      </c>
      <c r="D209" t="s">
        <v>55</v>
      </c>
      <c r="E209" s="20">
        <v>18749</v>
      </c>
    </row>
    <row r="210" spans="1:5" x14ac:dyDescent="0.3">
      <c r="A210" s="9">
        <v>45718</v>
      </c>
      <c r="B210" t="s">
        <v>9</v>
      </c>
      <c r="C210" t="s">
        <v>33</v>
      </c>
      <c r="D210" t="s">
        <v>37</v>
      </c>
      <c r="E210" s="20">
        <v>8672</v>
      </c>
    </row>
    <row r="211" spans="1:5" x14ac:dyDescent="0.3">
      <c r="A211" s="9">
        <v>45796</v>
      </c>
      <c r="B211" t="s">
        <v>9</v>
      </c>
      <c r="C211" t="s">
        <v>54</v>
      </c>
      <c r="D211" t="s">
        <v>56</v>
      </c>
      <c r="E211" s="20">
        <v>13059</v>
      </c>
    </row>
    <row r="212" spans="1:5" x14ac:dyDescent="0.3">
      <c r="A212" s="9">
        <v>45829</v>
      </c>
      <c r="B212" t="s">
        <v>9</v>
      </c>
      <c r="C212" t="s">
        <v>33</v>
      </c>
      <c r="D212" t="s">
        <v>37</v>
      </c>
      <c r="E212" s="20">
        <v>9132</v>
      </c>
    </row>
    <row r="213" spans="1:5" x14ac:dyDescent="0.3">
      <c r="A213" s="9">
        <v>45683</v>
      </c>
      <c r="B213" t="s">
        <v>9</v>
      </c>
      <c r="C213" t="s">
        <v>39</v>
      </c>
      <c r="D213" t="s">
        <v>49</v>
      </c>
      <c r="E213" s="20">
        <v>10825</v>
      </c>
    </row>
    <row r="214" spans="1:5" x14ac:dyDescent="0.3">
      <c r="A214" s="9">
        <v>45742</v>
      </c>
      <c r="B214" t="s">
        <v>9</v>
      </c>
      <c r="C214" t="s">
        <v>36</v>
      </c>
      <c r="D214" t="s">
        <v>68</v>
      </c>
      <c r="E214" s="20">
        <v>8809</v>
      </c>
    </row>
    <row r="215" spans="1:5" x14ac:dyDescent="0.3">
      <c r="A215" s="9">
        <v>45752</v>
      </c>
      <c r="B215" t="s">
        <v>6</v>
      </c>
      <c r="C215" t="s">
        <v>24</v>
      </c>
      <c r="D215" t="s">
        <v>70</v>
      </c>
      <c r="E215" s="20">
        <v>30883</v>
      </c>
    </row>
    <row r="216" spans="1:5" x14ac:dyDescent="0.3">
      <c r="A216" s="9">
        <v>45726</v>
      </c>
      <c r="B216" t="s">
        <v>9</v>
      </c>
      <c r="C216" t="s">
        <v>54</v>
      </c>
      <c r="D216" t="s">
        <v>72</v>
      </c>
      <c r="E216" s="20">
        <v>8246</v>
      </c>
    </row>
    <row r="217" spans="1:5" x14ac:dyDescent="0.3">
      <c r="A217" s="9">
        <v>45674</v>
      </c>
      <c r="B217" t="s">
        <v>9</v>
      </c>
      <c r="C217" t="s">
        <v>36</v>
      </c>
      <c r="D217" t="s">
        <v>80</v>
      </c>
      <c r="E217" s="20">
        <v>2440</v>
      </c>
    </row>
    <row r="218" spans="1:5" x14ac:dyDescent="0.3">
      <c r="A218" s="9">
        <v>45822</v>
      </c>
      <c r="B218" t="s">
        <v>9</v>
      </c>
      <c r="C218" t="s">
        <v>21</v>
      </c>
      <c r="D218" t="s">
        <v>59</v>
      </c>
      <c r="E218" s="20">
        <v>19469</v>
      </c>
    </row>
    <row r="219" spans="1:5" x14ac:dyDescent="0.3">
      <c r="A219" s="9">
        <v>45668</v>
      </c>
      <c r="B219" t="s">
        <v>9</v>
      </c>
      <c r="C219" t="s">
        <v>21</v>
      </c>
      <c r="D219" t="s">
        <v>59</v>
      </c>
      <c r="E219" s="20">
        <v>19303</v>
      </c>
    </row>
    <row r="220" spans="1:5" x14ac:dyDescent="0.3">
      <c r="A220" s="9">
        <v>45713</v>
      </c>
      <c r="B220" t="s">
        <v>6</v>
      </c>
      <c r="C220" t="s">
        <v>14</v>
      </c>
      <c r="D220" t="s">
        <v>44</v>
      </c>
      <c r="E220" s="20">
        <v>31618</v>
      </c>
    </row>
    <row r="221" spans="1:5" x14ac:dyDescent="0.3">
      <c r="A221" s="9">
        <v>45693</v>
      </c>
      <c r="B221" t="s">
        <v>9</v>
      </c>
      <c r="C221" t="s">
        <v>19</v>
      </c>
      <c r="D221" t="s">
        <v>34</v>
      </c>
      <c r="E221" s="20">
        <v>7391</v>
      </c>
    </row>
    <row r="222" spans="1:5" x14ac:dyDescent="0.3">
      <c r="A222" s="9">
        <v>45724</v>
      </c>
      <c r="B222" t="s">
        <v>9</v>
      </c>
      <c r="C222" t="s">
        <v>10</v>
      </c>
      <c r="D222" t="s">
        <v>47</v>
      </c>
      <c r="E222" s="20">
        <v>9792</v>
      </c>
    </row>
    <row r="223" spans="1:5" x14ac:dyDescent="0.3">
      <c r="A223" s="9">
        <v>45727</v>
      </c>
      <c r="B223" t="s">
        <v>9</v>
      </c>
      <c r="C223" t="s">
        <v>16</v>
      </c>
      <c r="D223" t="s">
        <v>15</v>
      </c>
      <c r="E223" s="20">
        <v>7827</v>
      </c>
    </row>
    <row r="224" spans="1:5" x14ac:dyDescent="0.3">
      <c r="A224" s="9">
        <v>45776</v>
      </c>
      <c r="B224" t="s">
        <v>6</v>
      </c>
      <c r="C224" t="s">
        <v>24</v>
      </c>
      <c r="D224" t="s">
        <v>70</v>
      </c>
      <c r="E224" s="20">
        <v>9706</v>
      </c>
    </row>
    <row r="225" spans="1:5" x14ac:dyDescent="0.3">
      <c r="A225" s="9">
        <v>45809</v>
      </c>
      <c r="B225" t="s">
        <v>6</v>
      </c>
      <c r="C225" t="s">
        <v>7</v>
      </c>
      <c r="D225" t="s">
        <v>5</v>
      </c>
      <c r="E225" s="20">
        <v>31021</v>
      </c>
    </row>
    <row r="226" spans="1:5" x14ac:dyDescent="0.3">
      <c r="A226" s="9">
        <v>45680</v>
      </c>
      <c r="B226" t="s">
        <v>6</v>
      </c>
      <c r="C226" t="s">
        <v>24</v>
      </c>
      <c r="D226" t="s">
        <v>23</v>
      </c>
      <c r="E226" s="20">
        <v>30368</v>
      </c>
    </row>
    <row r="227" spans="1:5" x14ac:dyDescent="0.3">
      <c r="A227" s="9">
        <v>45687</v>
      </c>
      <c r="B227" t="s">
        <v>6</v>
      </c>
      <c r="C227" t="s">
        <v>24</v>
      </c>
      <c r="D227" t="s">
        <v>23</v>
      </c>
      <c r="E227" s="20">
        <v>24957</v>
      </c>
    </row>
    <row r="228" spans="1:5" x14ac:dyDescent="0.3">
      <c r="A228" s="9">
        <v>45827</v>
      </c>
      <c r="B228" t="s">
        <v>9</v>
      </c>
      <c r="C228" t="s">
        <v>33</v>
      </c>
      <c r="D228" t="s">
        <v>40</v>
      </c>
      <c r="E228" s="20">
        <v>13423</v>
      </c>
    </row>
    <row r="229" spans="1:5" x14ac:dyDescent="0.3">
      <c r="A229" s="9">
        <v>45759</v>
      </c>
      <c r="B229" t="s">
        <v>9</v>
      </c>
      <c r="C229" t="s">
        <v>21</v>
      </c>
      <c r="D229" t="s">
        <v>20</v>
      </c>
      <c r="E229" s="20">
        <v>10988</v>
      </c>
    </row>
    <row r="230" spans="1:5" x14ac:dyDescent="0.3">
      <c r="A230" s="9">
        <v>45749</v>
      </c>
      <c r="B230" t="s">
        <v>6</v>
      </c>
      <c r="C230" t="s">
        <v>12</v>
      </c>
      <c r="D230" t="s">
        <v>63</v>
      </c>
      <c r="E230" s="20">
        <v>39909</v>
      </c>
    </row>
    <row r="231" spans="1:5" x14ac:dyDescent="0.3">
      <c r="A231" s="9">
        <v>45798</v>
      </c>
      <c r="B231" t="s">
        <v>9</v>
      </c>
      <c r="C231" t="s">
        <v>33</v>
      </c>
      <c r="D231" t="s">
        <v>79</v>
      </c>
      <c r="E231" s="20">
        <v>2135</v>
      </c>
    </row>
    <row r="232" spans="1:5" x14ac:dyDescent="0.3">
      <c r="A232" s="9">
        <v>45837</v>
      </c>
      <c r="B232" t="s">
        <v>6</v>
      </c>
      <c r="C232" t="s">
        <v>7</v>
      </c>
      <c r="D232" t="s">
        <v>50</v>
      </c>
      <c r="E232" s="20">
        <v>28225</v>
      </c>
    </row>
    <row r="233" spans="1:5" x14ac:dyDescent="0.3">
      <c r="A233" s="9">
        <v>45837</v>
      </c>
      <c r="B233" t="s">
        <v>9</v>
      </c>
      <c r="C233" t="s">
        <v>36</v>
      </c>
      <c r="D233" t="s">
        <v>66</v>
      </c>
      <c r="E233" s="20">
        <v>17976</v>
      </c>
    </row>
    <row r="234" spans="1:5" x14ac:dyDescent="0.3">
      <c r="A234" s="9">
        <v>45812</v>
      </c>
      <c r="B234" t="s">
        <v>9</v>
      </c>
      <c r="C234" t="s">
        <v>16</v>
      </c>
      <c r="D234" t="s">
        <v>76</v>
      </c>
      <c r="E234" s="20">
        <v>9117</v>
      </c>
    </row>
    <row r="235" spans="1:5" x14ac:dyDescent="0.3">
      <c r="A235" s="9">
        <v>45661</v>
      </c>
      <c r="B235" t="s">
        <v>9</v>
      </c>
      <c r="C235" t="s">
        <v>36</v>
      </c>
      <c r="D235" t="s">
        <v>68</v>
      </c>
      <c r="E235" s="20">
        <v>16441</v>
      </c>
    </row>
    <row r="236" spans="1:5" x14ac:dyDescent="0.3">
      <c r="A236" s="9">
        <v>45741</v>
      </c>
      <c r="B236" t="s">
        <v>6</v>
      </c>
      <c r="C236" t="s">
        <v>12</v>
      </c>
      <c r="D236" t="s">
        <v>11</v>
      </c>
      <c r="E236" s="20">
        <v>13086</v>
      </c>
    </row>
    <row r="237" spans="1:5" x14ac:dyDescent="0.3">
      <c r="A237" s="9">
        <v>45779</v>
      </c>
      <c r="B237" t="s">
        <v>9</v>
      </c>
      <c r="C237" t="s">
        <v>39</v>
      </c>
      <c r="D237" t="s">
        <v>38</v>
      </c>
      <c r="E237" s="20">
        <v>17996</v>
      </c>
    </row>
    <row r="238" spans="1:5" x14ac:dyDescent="0.3">
      <c r="A238" s="9">
        <v>45824</v>
      </c>
      <c r="B238" t="s">
        <v>6</v>
      </c>
      <c r="C238" t="s">
        <v>12</v>
      </c>
      <c r="D238" t="s">
        <v>29</v>
      </c>
      <c r="E238" s="20">
        <v>20465</v>
      </c>
    </row>
    <row r="239" spans="1:5" x14ac:dyDescent="0.3">
      <c r="A239" s="9">
        <v>45680</v>
      </c>
      <c r="B239" t="s">
        <v>9</v>
      </c>
      <c r="C239" t="s">
        <v>39</v>
      </c>
      <c r="D239" t="s">
        <v>43</v>
      </c>
      <c r="E239" s="20">
        <v>14542</v>
      </c>
    </row>
    <row r="240" spans="1:5" x14ac:dyDescent="0.3">
      <c r="A240" s="9">
        <v>45658</v>
      </c>
      <c r="B240" t="s">
        <v>6</v>
      </c>
      <c r="C240" t="s">
        <v>12</v>
      </c>
      <c r="D240" t="s">
        <v>29</v>
      </c>
      <c r="E240" s="20">
        <v>26725</v>
      </c>
    </row>
    <row r="241" spans="1:5" x14ac:dyDescent="0.3">
      <c r="A241" s="9">
        <v>45695</v>
      </c>
      <c r="B241" t="s">
        <v>9</v>
      </c>
      <c r="C241" t="s">
        <v>28</v>
      </c>
      <c r="D241" t="s">
        <v>77</v>
      </c>
      <c r="E241" s="20">
        <v>12824</v>
      </c>
    </row>
    <row r="242" spans="1:5" x14ac:dyDescent="0.3">
      <c r="A242" s="9">
        <v>45701</v>
      </c>
      <c r="B242" t="s">
        <v>6</v>
      </c>
      <c r="C242" t="s">
        <v>12</v>
      </c>
      <c r="D242" t="s">
        <v>63</v>
      </c>
      <c r="E242" s="20">
        <v>48889</v>
      </c>
    </row>
    <row r="243" spans="1:5" x14ac:dyDescent="0.3">
      <c r="A243" s="9">
        <v>45709</v>
      </c>
      <c r="B243" t="s">
        <v>6</v>
      </c>
      <c r="C243" t="s">
        <v>12</v>
      </c>
      <c r="D243" t="s">
        <v>29</v>
      </c>
      <c r="E243" s="20">
        <v>9606</v>
      </c>
    </row>
    <row r="244" spans="1:5" x14ac:dyDescent="0.3">
      <c r="A244" s="9">
        <v>45702</v>
      </c>
      <c r="B244" t="s">
        <v>9</v>
      </c>
      <c r="C244" t="s">
        <v>54</v>
      </c>
      <c r="D244" t="s">
        <v>56</v>
      </c>
      <c r="E244" s="20">
        <v>5931</v>
      </c>
    </row>
    <row r="245" spans="1:5" x14ac:dyDescent="0.3">
      <c r="A245" s="9">
        <v>45815</v>
      </c>
      <c r="B245" t="s">
        <v>6</v>
      </c>
      <c r="C245" t="s">
        <v>24</v>
      </c>
      <c r="D245" t="s">
        <v>70</v>
      </c>
      <c r="E245" s="20">
        <v>14749</v>
      </c>
    </row>
    <row r="246" spans="1:5" x14ac:dyDescent="0.3">
      <c r="A246" s="9">
        <v>45665</v>
      </c>
      <c r="B246" t="s">
        <v>6</v>
      </c>
      <c r="C246" t="s">
        <v>24</v>
      </c>
      <c r="D246" t="s">
        <v>70</v>
      </c>
      <c r="E246" s="20">
        <v>42246</v>
      </c>
    </row>
    <row r="247" spans="1:5" x14ac:dyDescent="0.3">
      <c r="A247" s="9">
        <v>45668</v>
      </c>
      <c r="B247" t="s">
        <v>6</v>
      </c>
      <c r="C247" t="s">
        <v>7</v>
      </c>
      <c r="D247" t="s">
        <v>50</v>
      </c>
      <c r="E247" s="20">
        <v>43966</v>
      </c>
    </row>
    <row r="248" spans="1:5" x14ac:dyDescent="0.3">
      <c r="A248" s="9">
        <v>45667</v>
      </c>
      <c r="B248" t="s">
        <v>9</v>
      </c>
      <c r="C248" t="s">
        <v>33</v>
      </c>
      <c r="D248" t="s">
        <v>32</v>
      </c>
      <c r="E248" s="20">
        <v>6625</v>
      </c>
    </row>
    <row r="249" spans="1:5" x14ac:dyDescent="0.3">
      <c r="A249" s="9">
        <v>45798</v>
      </c>
      <c r="B249" t="s">
        <v>9</v>
      </c>
      <c r="C249" t="s">
        <v>28</v>
      </c>
      <c r="D249" t="s">
        <v>27</v>
      </c>
      <c r="E249" s="20">
        <v>2561</v>
      </c>
    </row>
    <row r="250" spans="1:5" x14ac:dyDescent="0.3">
      <c r="A250" s="9">
        <v>45771</v>
      </c>
      <c r="B250" t="s">
        <v>6</v>
      </c>
      <c r="C250" t="s">
        <v>12</v>
      </c>
      <c r="D250" t="s">
        <v>11</v>
      </c>
      <c r="E250" s="20">
        <v>24272</v>
      </c>
    </row>
    <row r="251" spans="1:5" x14ac:dyDescent="0.3">
      <c r="A251" s="9">
        <v>45692</v>
      </c>
      <c r="B251" t="s">
        <v>9</v>
      </c>
      <c r="C251" t="s">
        <v>16</v>
      </c>
      <c r="D251" t="s">
        <v>15</v>
      </c>
      <c r="E251" s="20">
        <v>4216</v>
      </c>
    </row>
    <row r="252" spans="1:5" x14ac:dyDescent="0.3">
      <c r="A252" s="9">
        <v>45667</v>
      </c>
      <c r="B252" t="s">
        <v>9</v>
      </c>
      <c r="C252" t="s">
        <v>54</v>
      </c>
      <c r="D252" t="s">
        <v>72</v>
      </c>
      <c r="E252" s="20">
        <v>15023</v>
      </c>
    </row>
    <row r="253" spans="1:5" x14ac:dyDescent="0.3">
      <c r="A253" s="9">
        <v>45825</v>
      </c>
      <c r="B253" t="s">
        <v>6</v>
      </c>
      <c r="C253" t="s">
        <v>12</v>
      </c>
      <c r="D253" t="s">
        <v>63</v>
      </c>
      <c r="E253" s="20">
        <v>35593</v>
      </c>
    </row>
    <row r="254" spans="1:5" x14ac:dyDescent="0.3">
      <c r="A254" s="9">
        <v>45724</v>
      </c>
      <c r="B254" t="s">
        <v>9</v>
      </c>
      <c r="C254" t="s">
        <v>26</v>
      </c>
      <c r="D254" t="s">
        <v>30</v>
      </c>
      <c r="E254" s="20">
        <v>691</v>
      </c>
    </row>
    <row r="255" spans="1:5" x14ac:dyDescent="0.3">
      <c r="A255" s="9">
        <v>45689</v>
      </c>
      <c r="B255" t="s">
        <v>6</v>
      </c>
      <c r="C255" t="s">
        <v>7</v>
      </c>
      <c r="D255" t="s">
        <v>50</v>
      </c>
      <c r="E255" s="20">
        <v>44899</v>
      </c>
    </row>
    <row r="256" spans="1:5" x14ac:dyDescent="0.3">
      <c r="A256" s="9">
        <v>45830</v>
      </c>
      <c r="B256" t="s">
        <v>9</v>
      </c>
      <c r="C256" t="s">
        <v>10</v>
      </c>
      <c r="D256" t="s">
        <v>64</v>
      </c>
      <c r="E256" s="20">
        <v>17504</v>
      </c>
    </row>
    <row r="257" spans="1:5" x14ac:dyDescent="0.3">
      <c r="A257" s="9">
        <v>45718</v>
      </c>
      <c r="B257" t="s">
        <v>9</v>
      </c>
      <c r="C257" t="s">
        <v>54</v>
      </c>
      <c r="D257" t="s">
        <v>69</v>
      </c>
      <c r="E257" s="20">
        <v>5137</v>
      </c>
    </row>
    <row r="258" spans="1:5" x14ac:dyDescent="0.3">
      <c r="A258" s="9">
        <v>45831</v>
      </c>
      <c r="B258" t="s">
        <v>9</v>
      </c>
      <c r="C258" t="s">
        <v>26</v>
      </c>
      <c r="D258" t="s">
        <v>25</v>
      </c>
      <c r="E258" s="20">
        <v>15839</v>
      </c>
    </row>
    <row r="259" spans="1:5" x14ac:dyDescent="0.3">
      <c r="A259" s="9">
        <v>45795</v>
      </c>
      <c r="B259" t="s">
        <v>9</v>
      </c>
      <c r="C259" t="s">
        <v>19</v>
      </c>
      <c r="D259" t="s">
        <v>18</v>
      </c>
      <c r="E259" s="20">
        <v>8146</v>
      </c>
    </row>
    <row r="260" spans="1:5" x14ac:dyDescent="0.3">
      <c r="A260" s="9">
        <v>45673</v>
      </c>
      <c r="B260" t="s">
        <v>9</v>
      </c>
      <c r="C260" t="s">
        <v>46</v>
      </c>
      <c r="D260" t="s">
        <v>48</v>
      </c>
      <c r="E260" s="20">
        <v>10910</v>
      </c>
    </row>
    <row r="261" spans="1:5" x14ac:dyDescent="0.3">
      <c r="A261" s="9">
        <v>45807</v>
      </c>
      <c r="B261" t="s">
        <v>9</v>
      </c>
      <c r="C261" t="s">
        <v>46</v>
      </c>
      <c r="D261" t="s">
        <v>45</v>
      </c>
      <c r="E261" s="20">
        <v>335</v>
      </c>
    </row>
    <row r="262" spans="1:5" x14ac:dyDescent="0.3">
      <c r="A262" s="9">
        <v>45699</v>
      </c>
      <c r="B262" t="s">
        <v>9</v>
      </c>
      <c r="C262" t="s">
        <v>46</v>
      </c>
      <c r="D262" t="s">
        <v>58</v>
      </c>
      <c r="E262" s="20">
        <v>11077</v>
      </c>
    </row>
    <row r="263" spans="1:5" x14ac:dyDescent="0.3">
      <c r="A263" s="9">
        <v>45680</v>
      </c>
      <c r="B263" t="s">
        <v>9</v>
      </c>
      <c r="C263" t="s">
        <v>39</v>
      </c>
      <c r="D263" t="s">
        <v>43</v>
      </c>
      <c r="E263" s="20">
        <v>11773</v>
      </c>
    </row>
    <row r="264" spans="1:5" x14ac:dyDescent="0.3">
      <c r="A264" s="9">
        <v>45792</v>
      </c>
      <c r="B264" t="s">
        <v>9</v>
      </c>
      <c r="C264" t="s">
        <v>16</v>
      </c>
      <c r="D264" t="s">
        <v>15</v>
      </c>
      <c r="E264" s="20">
        <v>12382</v>
      </c>
    </row>
    <row r="265" spans="1:5" x14ac:dyDescent="0.3">
      <c r="A265" s="9">
        <v>45691</v>
      </c>
      <c r="B265" t="s">
        <v>9</v>
      </c>
      <c r="C265" t="s">
        <v>26</v>
      </c>
      <c r="D265" t="s">
        <v>25</v>
      </c>
      <c r="E265" s="20">
        <v>8792</v>
      </c>
    </row>
    <row r="266" spans="1:5" x14ac:dyDescent="0.3">
      <c r="A266" s="9">
        <v>45819</v>
      </c>
      <c r="B266" t="s">
        <v>6</v>
      </c>
      <c r="C266" t="s">
        <v>24</v>
      </c>
      <c r="D266" t="s">
        <v>23</v>
      </c>
      <c r="E266" s="20">
        <v>21865</v>
      </c>
    </row>
    <row r="267" spans="1:5" x14ac:dyDescent="0.3">
      <c r="A267" s="9">
        <v>45689</v>
      </c>
      <c r="B267" t="s">
        <v>6</v>
      </c>
      <c r="C267" t="s">
        <v>12</v>
      </c>
      <c r="D267" t="s">
        <v>29</v>
      </c>
      <c r="E267" s="20">
        <v>13563</v>
      </c>
    </row>
    <row r="268" spans="1:5" x14ac:dyDescent="0.3">
      <c r="A268" s="9">
        <v>45676</v>
      </c>
      <c r="B268" t="s">
        <v>6</v>
      </c>
      <c r="C268" t="s">
        <v>61</v>
      </c>
      <c r="D268" t="s">
        <v>74</v>
      </c>
      <c r="E268" s="20">
        <v>23283</v>
      </c>
    </row>
    <row r="269" spans="1:5" x14ac:dyDescent="0.3">
      <c r="A269" s="9">
        <v>45679</v>
      </c>
      <c r="B269" t="s">
        <v>9</v>
      </c>
      <c r="C269" t="s">
        <v>52</v>
      </c>
      <c r="D269" t="s">
        <v>57</v>
      </c>
      <c r="E269" s="20">
        <v>1874</v>
      </c>
    </row>
    <row r="270" spans="1:5" x14ac:dyDescent="0.3">
      <c r="A270" s="9">
        <v>45707</v>
      </c>
      <c r="B270" t="s">
        <v>9</v>
      </c>
      <c r="C270" t="s">
        <v>19</v>
      </c>
      <c r="D270" t="s">
        <v>67</v>
      </c>
      <c r="E270" s="20">
        <v>13669</v>
      </c>
    </row>
    <row r="271" spans="1:5" x14ac:dyDescent="0.3">
      <c r="A271" s="9">
        <v>45771</v>
      </c>
      <c r="B271" t="s">
        <v>9</v>
      </c>
      <c r="C271" t="s">
        <v>36</v>
      </c>
      <c r="D271" t="s">
        <v>66</v>
      </c>
      <c r="E271" s="20">
        <v>9824</v>
      </c>
    </row>
    <row r="272" spans="1:5" x14ac:dyDescent="0.3">
      <c r="A272" s="9">
        <v>45816</v>
      </c>
      <c r="B272" t="s">
        <v>6</v>
      </c>
      <c r="C272" t="s">
        <v>12</v>
      </c>
      <c r="D272" t="s">
        <v>29</v>
      </c>
      <c r="E272" s="20">
        <v>19994</v>
      </c>
    </row>
    <row r="273" spans="1:5" x14ac:dyDescent="0.3">
      <c r="A273" s="9">
        <v>45835</v>
      </c>
      <c r="B273" t="s">
        <v>9</v>
      </c>
      <c r="C273" t="s">
        <v>39</v>
      </c>
      <c r="D273" t="s">
        <v>49</v>
      </c>
      <c r="E273" s="20">
        <v>17981</v>
      </c>
    </row>
    <row r="274" spans="1:5" x14ac:dyDescent="0.3">
      <c r="A274" s="9">
        <v>45685</v>
      </c>
      <c r="B274" t="s">
        <v>6</v>
      </c>
      <c r="C274" t="s">
        <v>7</v>
      </c>
      <c r="D274" t="s">
        <v>50</v>
      </c>
      <c r="E274" s="20">
        <v>31257</v>
      </c>
    </row>
    <row r="275" spans="1:5" x14ac:dyDescent="0.3">
      <c r="A275" s="9">
        <v>45676</v>
      </c>
      <c r="B275" t="s">
        <v>9</v>
      </c>
      <c r="C275" t="s">
        <v>46</v>
      </c>
      <c r="D275" t="s">
        <v>48</v>
      </c>
      <c r="E275" s="20">
        <v>1669</v>
      </c>
    </row>
    <row r="276" spans="1:5" x14ac:dyDescent="0.3">
      <c r="A276" s="9">
        <v>45771</v>
      </c>
      <c r="B276" t="s">
        <v>9</v>
      </c>
      <c r="C276" t="s">
        <v>46</v>
      </c>
      <c r="D276" t="s">
        <v>58</v>
      </c>
      <c r="E276" s="20">
        <v>15242</v>
      </c>
    </row>
    <row r="277" spans="1:5" x14ac:dyDescent="0.3">
      <c r="A277" s="9">
        <v>45767</v>
      </c>
      <c r="B277" t="s">
        <v>6</v>
      </c>
      <c r="C277" t="s">
        <v>12</v>
      </c>
      <c r="D277" t="s">
        <v>63</v>
      </c>
      <c r="E277" s="20">
        <v>14933</v>
      </c>
    </row>
    <row r="278" spans="1:5" x14ac:dyDescent="0.3">
      <c r="A278" s="9">
        <v>45725</v>
      </c>
      <c r="B278" t="s">
        <v>9</v>
      </c>
      <c r="C278" t="s">
        <v>10</v>
      </c>
      <c r="D278" t="s">
        <v>55</v>
      </c>
      <c r="E278" s="20">
        <v>19361</v>
      </c>
    </row>
    <row r="279" spans="1:5" x14ac:dyDescent="0.3">
      <c r="A279" s="9">
        <v>45681</v>
      </c>
      <c r="B279" t="s">
        <v>9</v>
      </c>
      <c r="C279" t="s">
        <v>54</v>
      </c>
      <c r="D279" t="s">
        <v>72</v>
      </c>
      <c r="E279" s="20">
        <v>17920</v>
      </c>
    </row>
    <row r="280" spans="1:5" x14ac:dyDescent="0.3">
      <c r="A280" s="9">
        <v>45777</v>
      </c>
      <c r="B280" t="s">
        <v>9</v>
      </c>
      <c r="C280" t="s">
        <v>54</v>
      </c>
      <c r="D280" t="s">
        <v>53</v>
      </c>
      <c r="E280" s="20">
        <v>19331</v>
      </c>
    </row>
    <row r="281" spans="1:5" x14ac:dyDescent="0.3">
      <c r="A281" s="9">
        <v>45760</v>
      </c>
      <c r="B281" t="s">
        <v>9</v>
      </c>
      <c r="C281" t="s">
        <v>26</v>
      </c>
      <c r="D281" t="s">
        <v>81</v>
      </c>
      <c r="E281" s="20">
        <v>17071</v>
      </c>
    </row>
    <row r="282" spans="1:5" x14ac:dyDescent="0.3">
      <c r="A282" s="9">
        <v>45670</v>
      </c>
      <c r="B282" t="s">
        <v>6</v>
      </c>
      <c r="C282" t="s">
        <v>12</v>
      </c>
      <c r="D282" t="s">
        <v>11</v>
      </c>
      <c r="E282" s="20">
        <v>33041</v>
      </c>
    </row>
    <row r="283" spans="1:5" x14ac:dyDescent="0.3">
      <c r="A283" s="9">
        <v>45715</v>
      </c>
      <c r="B283" t="s">
        <v>9</v>
      </c>
      <c r="C283" t="s">
        <v>33</v>
      </c>
      <c r="D283" t="s">
        <v>32</v>
      </c>
      <c r="E283" s="20">
        <v>15987</v>
      </c>
    </row>
    <row r="284" spans="1:5" x14ac:dyDescent="0.3">
      <c r="A284" s="9">
        <v>45705</v>
      </c>
      <c r="B284" t="s">
        <v>6</v>
      </c>
      <c r="C284" t="s">
        <v>7</v>
      </c>
      <c r="D284" t="s">
        <v>50</v>
      </c>
      <c r="E284" s="20">
        <v>28878</v>
      </c>
    </row>
    <row r="285" spans="1:5" x14ac:dyDescent="0.3">
      <c r="A285" s="9">
        <v>45750</v>
      </c>
      <c r="B285" t="s">
        <v>6</v>
      </c>
      <c r="C285" t="s">
        <v>7</v>
      </c>
      <c r="D285" t="s">
        <v>17</v>
      </c>
      <c r="E285" s="20">
        <v>41810</v>
      </c>
    </row>
    <row r="286" spans="1:5" x14ac:dyDescent="0.3">
      <c r="A286" s="9">
        <v>45764</v>
      </c>
      <c r="B286" t="s">
        <v>9</v>
      </c>
      <c r="C286" t="s">
        <v>16</v>
      </c>
      <c r="D286" t="s">
        <v>42</v>
      </c>
      <c r="E286" s="20">
        <v>1416</v>
      </c>
    </row>
    <row r="287" spans="1:5" x14ac:dyDescent="0.3">
      <c r="A287" s="9">
        <v>45676</v>
      </c>
      <c r="B287" t="s">
        <v>9</v>
      </c>
      <c r="C287" t="s">
        <v>26</v>
      </c>
      <c r="D287" t="s">
        <v>25</v>
      </c>
      <c r="E287" s="20">
        <v>4121</v>
      </c>
    </row>
    <row r="288" spans="1:5" x14ac:dyDescent="0.3">
      <c r="A288" s="9">
        <v>45758</v>
      </c>
      <c r="B288" t="s">
        <v>9</v>
      </c>
      <c r="C288" t="s">
        <v>19</v>
      </c>
      <c r="D288" t="s">
        <v>18</v>
      </c>
      <c r="E288" s="20">
        <v>15831</v>
      </c>
    </row>
    <row r="289" spans="1:5" x14ac:dyDescent="0.3">
      <c r="A289" s="9">
        <v>45699</v>
      </c>
      <c r="B289" t="s">
        <v>6</v>
      </c>
      <c r="C289" t="s">
        <v>14</v>
      </c>
      <c r="D289" t="s">
        <v>44</v>
      </c>
      <c r="E289" s="20">
        <v>21741</v>
      </c>
    </row>
    <row r="290" spans="1:5" x14ac:dyDescent="0.3">
      <c r="A290" s="9">
        <v>45765</v>
      </c>
      <c r="B290" t="s">
        <v>9</v>
      </c>
      <c r="C290" t="s">
        <v>36</v>
      </c>
      <c r="D290" t="s">
        <v>68</v>
      </c>
      <c r="E290" s="20">
        <v>17706</v>
      </c>
    </row>
    <row r="291" spans="1:5" x14ac:dyDescent="0.3">
      <c r="A291" s="9">
        <v>45763</v>
      </c>
      <c r="B291" t="s">
        <v>9</v>
      </c>
      <c r="C291" t="s">
        <v>54</v>
      </c>
      <c r="D291" t="s">
        <v>56</v>
      </c>
      <c r="E291" s="20">
        <v>19699</v>
      </c>
    </row>
    <row r="292" spans="1:5" x14ac:dyDescent="0.3">
      <c r="A292" s="9">
        <v>45807</v>
      </c>
      <c r="B292" t="s">
        <v>9</v>
      </c>
      <c r="C292" t="s">
        <v>28</v>
      </c>
      <c r="D292" t="s">
        <v>75</v>
      </c>
      <c r="E292" s="20">
        <v>11067</v>
      </c>
    </row>
    <row r="293" spans="1:5" x14ac:dyDescent="0.3">
      <c r="A293" s="9">
        <v>45690</v>
      </c>
      <c r="B293" t="s">
        <v>9</v>
      </c>
      <c r="C293" t="s">
        <v>19</v>
      </c>
      <c r="D293" t="s">
        <v>67</v>
      </c>
      <c r="E293" s="20">
        <v>18224</v>
      </c>
    </row>
    <row r="294" spans="1:5" x14ac:dyDescent="0.3">
      <c r="A294" s="9">
        <v>45769</v>
      </c>
      <c r="B294" t="s">
        <v>9</v>
      </c>
      <c r="C294" t="s">
        <v>19</v>
      </c>
      <c r="D294" t="s">
        <v>18</v>
      </c>
      <c r="E294" s="20">
        <v>12497</v>
      </c>
    </row>
    <row r="295" spans="1:5" x14ac:dyDescent="0.3">
      <c r="A295" s="9">
        <v>45724</v>
      </c>
      <c r="B295" t="s">
        <v>9</v>
      </c>
      <c r="C295" t="s">
        <v>52</v>
      </c>
      <c r="D295" t="s">
        <v>57</v>
      </c>
      <c r="E295" s="20">
        <v>2400</v>
      </c>
    </row>
    <row r="296" spans="1:5" x14ac:dyDescent="0.3">
      <c r="A296" s="9">
        <v>45775</v>
      </c>
      <c r="B296" t="s">
        <v>6</v>
      </c>
      <c r="C296" t="s">
        <v>7</v>
      </c>
      <c r="D296" t="s">
        <v>17</v>
      </c>
      <c r="E296" s="20">
        <v>11886</v>
      </c>
    </row>
    <row r="297" spans="1:5" x14ac:dyDescent="0.3">
      <c r="A297" s="9">
        <v>45785</v>
      </c>
      <c r="B297" t="s">
        <v>6</v>
      </c>
      <c r="C297" t="s">
        <v>61</v>
      </c>
      <c r="D297" t="s">
        <v>60</v>
      </c>
      <c r="E297" s="20">
        <v>12271</v>
      </c>
    </row>
    <row r="298" spans="1:5" x14ac:dyDescent="0.3">
      <c r="A298" s="9">
        <v>45775</v>
      </c>
      <c r="B298" t="s">
        <v>9</v>
      </c>
      <c r="C298" t="s">
        <v>52</v>
      </c>
      <c r="D298" t="s">
        <v>51</v>
      </c>
      <c r="E298" s="20">
        <v>16674</v>
      </c>
    </row>
    <row r="299" spans="1:5" x14ac:dyDescent="0.3">
      <c r="A299" s="9">
        <v>45830</v>
      </c>
      <c r="B299" t="s">
        <v>9</v>
      </c>
      <c r="C299" t="s">
        <v>36</v>
      </c>
      <c r="D299" t="s">
        <v>35</v>
      </c>
      <c r="E299" s="20">
        <v>4031</v>
      </c>
    </row>
    <row r="300" spans="1:5" x14ac:dyDescent="0.3">
      <c r="A300" s="9">
        <v>45664</v>
      </c>
      <c r="B300" t="s">
        <v>6</v>
      </c>
      <c r="C300" t="s">
        <v>61</v>
      </c>
      <c r="D300" t="s">
        <v>60</v>
      </c>
      <c r="E300" s="20">
        <v>3223</v>
      </c>
    </row>
    <row r="301" spans="1:5" x14ac:dyDescent="0.3">
      <c r="A301" s="9">
        <v>45801</v>
      </c>
      <c r="B301" t="s">
        <v>9</v>
      </c>
      <c r="C301" t="s">
        <v>52</v>
      </c>
      <c r="D301" t="s">
        <v>62</v>
      </c>
      <c r="E301" s="20">
        <v>3848</v>
      </c>
    </row>
    <row r="302" spans="1:5" x14ac:dyDescent="0.3">
      <c r="A302" s="9">
        <v>45833</v>
      </c>
      <c r="B302" t="s">
        <v>9</v>
      </c>
      <c r="C302" t="s">
        <v>36</v>
      </c>
      <c r="D302" t="s">
        <v>35</v>
      </c>
      <c r="E302" s="20">
        <v>14961</v>
      </c>
    </row>
    <row r="303" spans="1:5" x14ac:dyDescent="0.3">
      <c r="A303" s="9">
        <v>45761</v>
      </c>
      <c r="B303" t="s">
        <v>9</v>
      </c>
      <c r="C303" t="s">
        <v>54</v>
      </c>
      <c r="D303" t="s">
        <v>72</v>
      </c>
      <c r="E303" s="20">
        <v>16022</v>
      </c>
    </row>
    <row r="304" spans="1:5" x14ac:dyDescent="0.3">
      <c r="A304" s="9">
        <v>45686</v>
      </c>
      <c r="B304" t="s">
        <v>9</v>
      </c>
      <c r="C304" t="s">
        <v>33</v>
      </c>
      <c r="D304" t="s">
        <v>79</v>
      </c>
      <c r="E304" s="20">
        <v>611</v>
      </c>
    </row>
    <row r="305" spans="1:5" x14ac:dyDescent="0.3">
      <c r="A305" s="9">
        <v>45734</v>
      </c>
      <c r="B305" t="s">
        <v>9</v>
      </c>
      <c r="C305" t="s">
        <v>33</v>
      </c>
      <c r="D305" t="s">
        <v>37</v>
      </c>
      <c r="E305" s="20">
        <v>12285</v>
      </c>
    </row>
    <row r="306" spans="1:5" x14ac:dyDescent="0.3">
      <c r="A306" s="9">
        <v>45718</v>
      </c>
      <c r="B306" t="s">
        <v>9</v>
      </c>
      <c r="C306" t="s">
        <v>10</v>
      </c>
      <c r="D306" t="s">
        <v>55</v>
      </c>
      <c r="E306" s="20">
        <v>17554</v>
      </c>
    </row>
    <row r="307" spans="1:5" x14ac:dyDescent="0.3">
      <c r="A307" s="9">
        <v>45730</v>
      </c>
      <c r="B307" t="s">
        <v>6</v>
      </c>
      <c r="C307" t="s">
        <v>61</v>
      </c>
      <c r="D307" t="s">
        <v>74</v>
      </c>
      <c r="E307" s="20">
        <v>36710</v>
      </c>
    </row>
    <row r="308" spans="1:5" x14ac:dyDescent="0.3">
      <c r="A308" s="9">
        <v>45719</v>
      </c>
      <c r="B308" t="s">
        <v>9</v>
      </c>
      <c r="C308" t="s">
        <v>33</v>
      </c>
      <c r="D308" t="s">
        <v>79</v>
      </c>
      <c r="E308" s="20">
        <v>285</v>
      </c>
    </row>
    <row r="309" spans="1:5" x14ac:dyDescent="0.3">
      <c r="A309" s="9">
        <v>45792</v>
      </c>
      <c r="B309" t="s">
        <v>6</v>
      </c>
      <c r="C309" t="s">
        <v>12</v>
      </c>
      <c r="D309" t="s">
        <v>63</v>
      </c>
      <c r="E309" s="20">
        <v>3641</v>
      </c>
    </row>
    <row r="310" spans="1:5" x14ac:dyDescent="0.3">
      <c r="A310" s="9">
        <v>45687</v>
      </c>
      <c r="B310" t="s">
        <v>6</v>
      </c>
      <c r="C310" t="s">
        <v>14</v>
      </c>
      <c r="D310" t="s">
        <v>44</v>
      </c>
      <c r="E310" s="20">
        <v>7997</v>
      </c>
    </row>
    <row r="311" spans="1:5" x14ac:dyDescent="0.3">
      <c r="A311" s="9">
        <v>45807</v>
      </c>
      <c r="B311" t="s">
        <v>9</v>
      </c>
      <c r="C311" t="s">
        <v>54</v>
      </c>
      <c r="D311" t="s">
        <v>53</v>
      </c>
      <c r="E311" s="20">
        <v>8843</v>
      </c>
    </row>
    <row r="312" spans="1:5" x14ac:dyDescent="0.3">
      <c r="A312" s="9">
        <v>45694</v>
      </c>
      <c r="B312" t="s">
        <v>6</v>
      </c>
      <c r="C312" t="s">
        <v>14</v>
      </c>
      <c r="D312" t="s">
        <v>44</v>
      </c>
      <c r="E312" s="20">
        <v>9993</v>
      </c>
    </row>
    <row r="313" spans="1:5" x14ac:dyDescent="0.3">
      <c r="A313" s="9">
        <v>45768</v>
      </c>
      <c r="B313" t="s">
        <v>6</v>
      </c>
      <c r="C313" t="s">
        <v>12</v>
      </c>
      <c r="D313" t="s">
        <v>11</v>
      </c>
      <c r="E313" s="20">
        <v>22072</v>
      </c>
    </row>
    <row r="314" spans="1:5" x14ac:dyDescent="0.3">
      <c r="A314" s="9">
        <v>45699</v>
      </c>
      <c r="B314" t="s">
        <v>9</v>
      </c>
      <c r="C314" t="s">
        <v>10</v>
      </c>
      <c r="D314" t="s">
        <v>64</v>
      </c>
      <c r="E314" s="20">
        <v>14901</v>
      </c>
    </row>
    <row r="315" spans="1:5" x14ac:dyDescent="0.3">
      <c r="A315" s="9">
        <v>45691</v>
      </c>
      <c r="B315" t="s">
        <v>9</v>
      </c>
      <c r="C315" t="s">
        <v>19</v>
      </c>
      <c r="D315" t="s">
        <v>34</v>
      </c>
      <c r="E315" s="20">
        <v>965</v>
      </c>
    </row>
    <row r="316" spans="1:5" x14ac:dyDescent="0.3">
      <c r="A316" s="9">
        <v>45772</v>
      </c>
      <c r="B316" t="s">
        <v>9</v>
      </c>
      <c r="C316" t="s">
        <v>28</v>
      </c>
      <c r="D316" t="s">
        <v>71</v>
      </c>
      <c r="E316" s="20">
        <v>13739</v>
      </c>
    </row>
    <row r="317" spans="1:5" x14ac:dyDescent="0.3">
      <c r="A317" s="9">
        <v>45757</v>
      </c>
      <c r="B317" t="s">
        <v>9</v>
      </c>
      <c r="C317" t="s">
        <v>46</v>
      </c>
      <c r="D317" t="s">
        <v>73</v>
      </c>
      <c r="E317" s="20">
        <v>2723</v>
      </c>
    </row>
    <row r="318" spans="1:5" x14ac:dyDescent="0.3">
      <c r="A318" s="9">
        <v>45810</v>
      </c>
      <c r="B318" t="s">
        <v>9</v>
      </c>
      <c r="C318" t="s">
        <v>54</v>
      </c>
      <c r="D318" t="s">
        <v>56</v>
      </c>
      <c r="E318" s="20">
        <v>4808</v>
      </c>
    </row>
    <row r="319" spans="1:5" x14ac:dyDescent="0.3">
      <c r="A319" s="9">
        <v>45707</v>
      </c>
      <c r="B319" t="s">
        <v>9</v>
      </c>
      <c r="C319" t="s">
        <v>46</v>
      </c>
      <c r="D319" t="s">
        <v>48</v>
      </c>
      <c r="E319" s="20">
        <v>11307</v>
      </c>
    </row>
    <row r="320" spans="1:5" x14ac:dyDescent="0.3">
      <c r="A320" s="9">
        <v>45756</v>
      </c>
      <c r="B320" t="s">
        <v>9</v>
      </c>
      <c r="C320" t="s">
        <v>52</v>
      </c>
      <c r="D320" t="s">
        <v>62</v>
      </c>
      <c r="E320" s="20">
        <v>9736</v>
      </c>
    </row>
    <row r="321" spans="1:5" x14ac:dyDescent="0.3">
      <c r="A321" s="9">
        <v>45825</v>
      </c>
      <c r="B321" t="s">
        <v>9</v>
      </c>
      <c r="C321" t="s">
        <v>21</v>
      </c>
      <c r="D321" t="s">
        <v>20</v>
      </c>
      <c r="E321" s="20">
        <v>6548</v>
      </c>
    </row>
    <row r="322" spans="1:5" x14ac:dyDescent="0.3">
      <c r="A322" s="9">
        <v>45823</v>
      </c>
      <c r="B322" t="s">
        <v>9</v>
      </c>
      <c r="C322" t="s">
        <v>19</v>
      </c>
      <c r="D322" t="s">
        <v>67</v>
      </c>
      <c r="E322" s="20">
        <v>6019</v>
      </c>
    </row>
    <row r="323" spans="1:5" x14ac:dyDescent="0.3">
      <c r="A323" s="9">
        <v>45708</v>
      </c>
      <c r="B323" t="s">
        <v>9</v>
      </c>
      <c r="C323" t="s">
        <v>10</v>
      </c>
      <c r="D323" t="s">
        <v>8</v>
      </c>
      <c r="E323" s="20">
        <v>4142</v>
      </c>
    </row>
    <row r="324" spans="1:5" x14ac:dyDescent="0.3">
      <c r="A324" s="9">
        <v>45782</v>
      </c>
      <c r="B324" t="s">
        <v>9</v>
      </c>
      <c r="C324" t="s">
        <v>39</v>
      </c>
      <c r="D324" t="s">
        <v>49</v>
      </c>
      <c r="E324" s="20">
        <v>6478</v>
      </c>
    </row>
    <row r="325" spans="1:5" x14ac:dyDescent="0.3">
      <c r="A325" s="9">
        <v>45837</v>
      </c>
      <c r="B325" t="s">
        <v>9</v>
      </c>
      <c r="C325" t="s">
        <v>46</v>
      </c>
      <c r="D325" t="s">
        <v>45</v>
      </c>
      <c r="E325" s="20">
        <v>8151</v>
      </c>
    </row>
    <row r="326" spans="1:5" x14ac:dyDescent="0.3">
      <c r="A326" s="9">
        <v>45806</v>
      </c>
      <c r="B326" t="s">
        <v>6</v>
      </c>
      <c r="C326" t="s">
        <v>24</v>
      </c>
      <c r="D326" t="s">
        <v>82</v>
      </c>
      <c r="E326" s="20">
        <v>20766</v>
      </c>
    </row>
    <row r="327" spans="1:5" x14ac:dyDescent="0.3">
      <c r="A327" s="9">
        <v>45709</v>
      </c>
      <c r="B327" t="s">
        <v>9</v>
      </c>
      <c r="C327" t="s">
        <v>26</v>
      </c>
      <c r="D327" t="s">
        <v>31</v>
      </c>
      <c r="E327" s="20">
        <v>14883</v>
      </c>
    </row>
    <row r="328" spans="1:5" x14ac:dyDescent="0.3">
      <c r="A328" s="9">
        <v>45792</v>
      </c>
      <c r="B328" t="s">
        <v>9</v>
      </c>
      <c r="C328" t="s">
        <v>21</v>
      </c>
      <c r="D328" t="s">
        <v>41</v>
      </c>
      <c r="E328" s="20">
        <v>15737</v>
      </c>
    </row>
    <row r="329" spans="1:5" x14ac:dyDescent="0.3">
      <c r="A329" s="9">
        <v>45698</v>
      </c>
      <c r="B329" t="s">
        <v>9</v>
      </c>
      <c r="C329" t="s">
        <v>52</v>
      </c>
      <c r="D329" t="s">
        <v>51</v>
      </c>
      <c r="E329" s="20">
        <v>17652</v>
      </c>
    </row>
    <row r="330" spans="1:5" x14ac:dyDescent="0.3">
      <c r="A330" s="9">
        <v>45807</v>
      </c>
      <c r="B330" t="s">
        <v>9</v>
      </c>
      <c r="C330" t="s">
        <v>36</v>
      </c>
      <c r="D330" t="s">
        <v>35</v>
      </c>
      <c r="E330" s="20">
        <v>16562</v>
      </c>
    </row>
    <row r="331" spans="1:5" x14ac:dyDescent="0.3">
      <c r="A331" s="9">
        <v>45729</v>
      </c>
      <c r="B331" t="s">
        <v>9</v>
      </c>
      <c r="C331" t="s">
        <v>39</v>
      </c>
      <c r="D331" t="s">
        <v>49</v>
      </c>
      <c r="E331" s="20">
        <v>15232</v>
      </c>
    </row>
    <row r="332" spans="1:5" x14ac:dyDescent="0.3">
      <c r="A332" s="9">
        <v>45739</v>
      </c>
      <c r="B332" t="s">
        <v>9</v>
      </c>
      <c r="C332" t="s">
        <v>46</v>
      </c>
      <c r="D332" t="s">
        <v>58</v>
      </c>
      <c r="E332" s="20">
        <v>5676</v>
      </c>
    </row>
    <row r="333" spans="1:5" x14ac:dyDescent="0.3">
      <c r="A333" s="9">
        <v>45790</v>
      </c>
      <c r="B333" t="s">
        <v>6</v>
      </c>
      <c r="C333" t="s">
        <v>24</v>
      </c>
      <c r="D333" t="s">
        <v>23</v>
      </c>
      <c r="E333" s="20">
        <v>41397</v>
      </c>
    </row>
    <row r="334" spans="1:5" x14ac:dyDescent="0.3">
      <c r="A334" s="9">
        <v>45706</v>
      </c>
      <c r="B334" t="s">
        <v>9</v>
      </c>
      <c r="C334" t="s">
        <v>54</v>
      </c>
      <c r="D334" t="s">
        <v>56</v>
      </c>
      <c r="E334" s="20">
        <v>4647</v>
      </c>
    </row>
    <row r="335" spans="1:5" x14ac:dyDescent="0.3">
      <c r="A335" s="9">
        <v>45671</v>
      </c>
      <c r="B335" t="s">
        <v>6</v>
      </c>
      <c r="C335" t="s">
        <v>24</v>
      </c>
      <c r="D335" t="s">
        <v>82</v>
      </c>
      <c r="E335" s="20">
        <v>42774</v>
      </c>
    </row>
    <row r="336" spans="1:5" x14ac:dyDescent="0.3">
      <c r="A336" s="9">
        <v>45776</v>
      </c>
      <c r="B336" t="s">
        <v>9</v>
      </c>
      <c r="C336" t="s">
        <v>16</v>
      </c>
      <c r="D336" t="s">
        <v>76</v>
      </c>
      <c r="E336" s="20">
        <v>15387</v>
      </c>
    </row>
    <row r="337" spans="1:5" x14ac:dyDescent="0.3">
      <c r="A337" s="9">
        <v>45795</v>
      </c>
      <c r="B337" t="s">
        <v>9</v>
      </c>
      <c r="C337" t="s">
        <v>10</v>
      </c>
      <c r="D337" t="s">
        <v>47</v>
      </c>
      <c r="E337" s="20">
        <v>12427</v>
      </c>
    </row>
    <row r="338" spans="1:5" x14ac:dyDescent="0.3">
      <c r="A338" s="9">
        <v>45700</v>
      </c>
      <c r="B338" t="s">
        <v>9</v>
      </c>
      <c r="C338" t="s">
        <v>16</v>
      </c>
      <c r="D338" t="s">
        <v>76</v>
      </c>
      <c r="E338" s="20">
        <v>6704</v>
      </c>
    </row>
    <row r="339" spans="1:5" x14ac:dyDescent="0.3">
      <c r="A339" s="9">
        <v>45817</v>
      </c>
      <c r="B339" t="s">
        <v>9</v>
      </c>
      <c r="C339" t="s">
        <v>19</v>
      </c>
      <c r="D339" t="s">
        <v>34</v>
      </c>
      <c r="E339" s="20">
        <v>1162</v>
      </c>
    </row>
    <row r="340" spans="1:5" x14ac:dyDescent="0.3">
      <c r="A340" s="9">
        <v>45800</v>
      </c>
      <c r="B340" t="s">
        <v>9</v>
      </c>
      <c r="C340" t="s">
        <v>36</v>
      </c>
      <c r="D340" t="s">
        <v>35</v>
      </c>
      <c r="E340" s="20">
        <v>4524</v>
      </c>
    </row>
    <row r="341" spans="1:5" x14ac:dyDescent="0.3">
      <c r="A341" s="9">
        <v>45711</v>
      </c>
      <c r="B341" t="s">
        <v>6</v>
      </c>
      <c r="C341" t="s">
        <v>12</v>
      </c>
      <c r="D341" t="s">
        <v>29</v>
      </c>
      <c r="E341" s="20">
        <v>23532</v>
      </c>
    </row>
    <row r="342" spans="1:5" x14ac:dyDescent="0.3">
      <c r="A342" s="9">
        <v>45711</v>
      </c>
      <c r="B342" t="s">
        <v>9</v>
      </c>
      <c r="C342" t="s">
        <v>33</v>
      </c>
      <c r="D342" t="s">
        <v>37</v>
      </c>
      <c r="E342" s="20">
        <v>19660</v>
      </c>
    </row>
    <row r="343" spans="1:5" x14ac:dyDescent="0.3">
      <c r="A343" s="9">
        <v>45830</v>
      </c>
      <c r="B343" t="s">
        <v>9</v>
      </c>
      <c r="C343" t="s">
        <v>46</v>
      </c>
      <c r="D343" t="s">
        <v>48</v>
      </c>
      <c r="E343" s="20">
        <v>6509</v>
      </c>
    </row>
    <row r="344" spans="1:5" x14ac:dyDescent="0.3">
      <c r="A344" s="9">
        <v>45742</v>
      </c>
      <c r="B344" t="s">
        <v>9</v>
      </c>
      <c r="C344" t="s">
        <v>54</v>
      </c>
      <c r="D344" t="s">
        <v>72</v>
      </c>
      <c r="E344" s="20">
        <v>1064</v>
      </c>
    </row>
    <row r="345" spans="1:5" x14ac:dyDescent="0.3">
      <c r="A345" s="9">
        <v>45796</v>
      </c>
      <c r="B345" t="s">
        <v>9</v>
      </c>
      <c r="C345" t="s">
        <v>54</v>
      </c>
      <c r="D345" t="s">
        <v>53</v>
      </c>
      <c r="E345" s="20">
        <v>3216</v>
      </c>
    </row>
    <row r="346" spans="1:5" x14ac:dyDescent="0.3">
      <c r="A346" s="9">
        <v>45834</v>
      </c>
      <c r="B346" t="s">
        <v>9</v>
      </c>
      <c r="C346" t="s">
        <v>52</v>
      </c>
      <c r="D346" t="s">
        <v>62</v>
      </c>
      <c r="E346" s="20">
        <v>18401</v>
      </c>
    </row>
    <row r="347" spans="1:5" x14ac:dyDescent="0.3">
      <c r="A347" s="9">
        <v>45707</v>
      </c>
      <c r="B347" t="s">
        <v>9</v>
      </c>
      <c r="C347" t="s">
        <v>21</v>
      </c>
      <c r="D347" t="s">
        <v>20</v>
      </c>
      <c r="E347" s="20">
        <v>17475</v>
      </c>
    </row>
    <row r="348" spans="1:5" x14ac:dyDescent="0.3">
      <c r="A348" s="9">
        <v>45835</v>
      </c>
      <c r="B348" t="s">
        <v>9</v>
      </c>
      <c r="C348" t="s">
        <v>46</v>
      </c>
      <c r="D348" t="s">
        <v>45</v>
      </c>
      <c r="E348" s="20">
        <v>9923</v>
      </c>
    </row>
    <row r="349" spans="1:5" x14ac:dyDescent="0.3">
      <c r="A349" s="9">
        <v>45740</v>
      </c>
      <c r="B349" t="s">
        <v>9</v>
      </c>
      <c r="C349" t="s">
        <v>39</v>
      </c>
      <c r="D349" t="s">
        <v>43</v>
      </c>
      <c r="E349" s="20">
        <v>11924</v>
      </c>
    </row>
    <row r="350" spans="1:5" x14ac:dyDescent="0.3">
      <c r="A350" s="9">
        <v>45689</v>
      </c>
      <c r="B350" t="s">
        <v>9</v>
      </c>
      <c r="C350" t="s">
        <v>33</v>
      </c>
      <c r="D350" t="s">
        <v>32</v>
      </c>
      <c r="E350" s="20">
        <v>9097</v>
      </c>
    </row>
    <row r="351" spans="1:5" x14ac:dyDescent="0.3">
      <c r="A351" s="9">
        <v>45802</v>
      </c>
      <c r="B351" t="s">
        <v>9</v>
      </c>
      <c r="C351" t="s">
        <v>52</v>
      </c>
      <c r="D351" t="s">
        <v>62</v>
      </c>
      <c r="E351" s="20">
        <v>13055</v>
      </c>
    </row>
    <row r="352" spans="1:5" x14ac:dyDescent="0.3">
      <c r="A352" s="1"/>
    </row>
  </sheetData>
  <dataValidations count="2">
    <dataValidation type="date" allowBlank="1" showInputMessage="1" showErrorMessage="1" errorTitle="Invalid data entry" error="Please enter a valid date between 01/01/2020 and 31/12/2035._x000a__x000a_" sqref="A1:A351" xr:uid="{94E689A6-B1DB-4371-AD93-802302B241EE}">
      <formula1>43831</formula1>
      <formula2>49674</formula2>
    </dataValidation>
    <dataValidation type="list" allowBlank="1" showInputMessage="1" showErrorMessage="1" errorTitle="Invalid Category" error="Please select a valid category from the dropdown list. Avoid typing manually to prevent errors._x000a_" sqref="C2:C1048576" xr:uid="{B216FD0C-5E50-4AAD-A63B-1E8EBFE393B8}">
      <formula1>INDIRECT(B2 &amp; "List")</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B8736-A6E9-4979-B9BF-A13CD3237D37}">
  <sheetPr>
    <tabColor rgb="FF008080"/>
  </sheetPr>
  <dimension ref="A23:Q42"/>
  <sheetViews>
    <sheetView showGridLines="0" tabSelected="1" topLeftCell="A2" zoomScale="95" workbookViewId="0">
      <selection activeCell="M43" sqref="M43"/>
    </sheetView>
  </sheetViews>
  <sheetFormatPr defaultRowHeight="14.4" x14ac:dyDescent="0.3"/>
  <sheetData>
    <row r="23" spans="1:13" ht="21" x14ac:dyDescent="0.5">
      <c r="D23" s="66"/>
    </row>
    <row r="24" spans="1:13" ht="15.6" x14ac:dyDescent="0.3">
      <c r="D24" s="65"/>
    </row>
    <row r="25" spans="1:13" x14ac:dyDescent="0.3">
      <c r="D25" s="57"/>
    </row>
    <row r="26" spans="1:13" x14ac:dyDescent="0.3">
      <c r="D26" s="57"/>
    </row>
    <row r="27" spans="1:13" x14ac:dyDescent="0.3">
      <c r="D27" s="57"/>
    </row>
    <row r="30" spans="1:13" ht="21" x14ac:dyDescent="0.5">
      <c r="A30" s="76" t="s">
        <v>119</v>
      </c>
      <c r="M30" s="66" t="s">
        <v>117</v>
      </c>
    </row>
    <row r="31" spans="1:13" ht="15.6" x14ac:dyDescent="0.3">
      <c r="A31" s="57" t="s">
        <v>120</v>
      </c>
      <c r="C31" s="57"/>
      <c r="M31" s="65" t="s">
        <v>127</v>
      </c>
    </row>
    <row r="32" spans="1:13" x14ac:dyDescent="0.3">
      <c r="A32" s="57" t="s">
        <v>121</v>
      </c>
      <c r="M32" s="57" t="s">
        <v>128</v>
      </c>
    </row>
    <row r="33" spans="1:17" ht="21" x14ac:dyDescent="0.5">
      <c r="A33" s="57" t="s">
        <v>122</v>
      </c>
      <c r="C33" s="66"/>
      <c r="M33" s="57" t="s">
        <v>129</v>
      </c>
    </row>
    <row r="34" spans="1:17" x14ac:dyDescent="0.3">
      <c r="A34" s="57" t="s">
        <v>123</v>
      </c>
      <c r="M34" s="57" t="s">
        <v>130</v>
      </c>
    </row>
    <row r="35" spans="1:17" ht="21" x14ac:dyDescent="0.5">
      <c r="A35" s="57" t="s">
        <v>124</v>
      </c>
      <c r="C35" s="65"/>
      <c r="Q35" s="66"/>
    </row>
    <row r="36" spans="1:17" x14ac:dyDescent="0.3">
      <c r="A36" s="57" t="s">
        <v>125</v>
      </c>
    </row>
    <row r="37" spans="1:17" ht="15.6" x14ac:dyDescent="0.3">
      <c r="A37" s="75" t="s">
        <v>126</v>
      </c>
      <c r="C37" s="57"/>
      <c r="Q37" s="65"/>
    </row>
    <row r="38" spans="1:17" x14ac:dyDescent="0.3">
      <c r="C38" s="57"/>
    </row>
    <row r="39" spans="1:17" x14ac:dyDescent="0.3">
      <c r="C39" s="57"/>
      <c r="Q39" s="57"/>
    </row>
    <row r="40" spans="1:17" x14ac:dyDescent="0.3">
      <c r="Q40" s="57"/>
    </row>
    <row r="41" spans="1:17" x14ac:dyDescent="0.3">
      <c r="Q41" s="57"/>
    </row>
    <row r="42" spans="1:17" x14ac:dyDescent="0.3">
      <c r="H42" s="7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91A14-BDA4-4152-BFC7-200A99ED3F98}">
  <sheetPr codeName="Sheet4">
    <tabColor theme="2" tint="-0.499984740745262"/>
  </sheetPr>
  <dimension ref="A1:E353"/>
  <sheetViews>
    <sheetView workbookViewId="0">
      <selection activeCell="G46" sqref="G46"/>
    </sheetView>
  </sheetViews>
  <sheetFormatPr defaultRowHeight="14.4" x14ac:dyDescent="0.3"/>
  <cols>
    <col min="1" max="1" width="35.88671875" customWidth="1"/>
    <col min="2" max="2" width="52.77734375" bestFit="1" customWidth="1"/>
    <col min="3" max="3" width="12.33203125" customWidth="1"/>
    <col min="4" max="4" width="12.109375" customWidth="1"/>
    <col min="5" max="6" width="13.5546875" bestFit="1" customWidth="1"/>
  </cols>
  <sheetData>
    <row r="1" spans="1:5" ht="15.6" x14ac:dyDescent="0.3">
      <c r="B1" s="7" t="s">
        <v>83</v>
      </c>
    </row>
    <row r="2" spans="1:5" ht="15" thickBot="1" x14ac:dyDescent="0.35">
      <c r="A2" s="8" t="s">
        <v>0</v>
      </c>
      <c r="B2" s="16" t="s">
        <v>1</v>
      </c>
      <c r="C2" s="4" t="s">
        <v>2</v>
      </c>
      <c r="D2" s="4" t="s">
        <v>3</v>
      </c>
      <c r="E2" s="4" t="s">
        <v>4</v>
      </c>
    </row>
    <row r="3" spans="1:5" ht="15" thickTop="1" x14ac:dyDescent="0.3">
      <c r="A3" s="10">
        <v>45777</v>
      </c>
      <c r="B3" s="17">
        <v>38211</v>
      </c>
      <c r="C3" s="5" t="s">
        <v>5</v>
      </c>
      <c r="D3" s="5" t="s">
        <v>6</v>
      </c>
      <c r="E3" s="5" t="s">
        <v>7</v>
      </c>
    </row>
    <row r="4" spans="1:5" x14ac:dyDescent="0.3">
      <c r="A4" s="11">
        <v>45815</v>
      </c>
      <c r="B4" s="18">
        <v>2941</v>
      </c>
      <c r="C4" s="2" t="s">
        <v>8</v>
      </c>
      <c r="D4" s="2" t="s">
        <v>9</v>
      </c>
      <c r="E4" s="2" t="s">
        <v>10</v>
      </c>
    </row>
    <row r="5" spans="1:5" x14ac:dyDescent="0.3">
      <c r="A5" s="12">
        <v>45786</v>
      </c>
      <c r="B5" s="19">
        <v>30867</v>
      </c>
      <c r="C5" s="3" t="s">
        <v>11</v>
      </c>
      <c r="D5" s="3" t="s">
        <v>6</v>
      </c>
      <c r="E5" s="3" t="s">
        <v>12</v>
      </c>
    </row>
    <row r="6" spans="1:5" x14ac:dyDescent="0.3">
      <c r="A6" s="11">
        <v>45671</v>
      </c>
      <c r="B6" s="18">
        <v>20234</v>
      </c>
      <c r="C6" s="2" t="s">
        <v>13</v>
      </c>
      <c r="D6" s="2" t="s">
        <v>6</v>
      </c>
      <c r="E6" s="2" t="s">
        <v>14</v>
      </c>
    </row>
    <row r="7" spans="1:5" x14ac:dyDescent="0.3">
      <c r="A7" s="12">
        <v>45826</v>
      </c>
      <c r="B7" s="19">
        <v>9800</v>
      </c>
      <c r="C7" s="3" t="s">
        <v>15</v>
      </c>
      <c r="D7" s="3" t="s">
        <v>9</v>
      </c>
      <c r="E7" s="3" t="s">
        <v>16</v>
      </c>
    </row>
    <row r="8" spans="1:5" x14ac:dyDescent="0.3">
      <c r="A8" s="11">
        <v>45821</v>
      </c>
      <c r="B8" s="18">
        <v>19398</v>
      </c>
      <c r="C8" s="2" t="s">
        <v>17</v>
      </c>
      <c r="D8" s="2" t="s">
        <v>6</v>
      </c>
      <c r="E8" s="2" t="s">
        <v>7</v>
      </c>
    </row>
    <row r="9" spans="1:5" x14ac:dyDescent="0.3">
      <c r="A9" s="12">
        <v>45723</v>
      </c>
      <c r="B9" s="19">
        <v>3341</v>
      </c>
      <c r="C9" s="3" t="s">
        <v>18</v>
      </c>
      <c r="D9" s="3" t="s">
        <v>9</v>
      </c>
      <c r="E9" s="3" t="s">
        <v>19</v>
      </c>
    </row>
    <row r="10" spans="1:5" x14ac:dyDescent="0.3">
      <c r="A10" s="11">
        <v>45822</v>
      </c>
      <c r="B10" s="18">
        <v>17385</v>
      </c>
      <c r="C10" s="2" t="s">
        <v>20</v>
      </c>
      <c r="D10" s="2" t="s">
        <v>9</v>
      </c>
      <c r="E10" s="2" t="s">
        <v>21</v>
      </c>
    </row>
    <row r="11" spans="1:5" x14ac:dyDescent="0.3">
      <c r="A11" s="12">
        <v>45689</v>
      </c>
      <c r="B11" s="19">
        <v>8257</v>
      </c>
      <c r="C11" s="3" t="s">
        <v>22</v>
      </c>
      <c r="D11" s="3" t="s">
        <v>9</v>
      </c>
      <c r="E11" s="3" t="s">
        <v>16</v>
      </c>
    </row>
    <row r="12" spans="1:5" x14ac:dyDescent="0.3">
      <c r="A12" s="11">
        <v>45731</v>
      </c>
      <c r="B12" s="18">
        <v>6142</v>
      </c>
      <c r="C12" s="2" t="s">
        <v>15</v>
      </c>
      <c r="D12" s="2" t="s">
        <v>9</v>
      </c>
      <c r="E12" s="2" t="s">
        <v>16</v>
      </c>
    </row>
    <row r="13" spans="1:5" x14ac:dyDescent="0.3">
      <c r="A13" s="12">
        <v>45813</v>
      </c>
      <c r="B13" s="19">
        <v>21787</v>
      </c>
      <c r="C13" s="3" t="s">
        <v>23</v>
      </c>
      <c r="D13" s="3" t="s">
        <v>6</v>
      </c>
      <c r="E13" s="3" t="s">
        <v>24</v>
      </c>
    </row>
    <row r="14" spans="1:5" x14ac:dyDescent="0.3">
      <c r="A14" s="11">
        <v>45781</v>
      </c>
      <c r="B14" s="18">
        <v>8150</v>
      </c>
      <c r="C14" s="2" t="s">
        <v>25</v>
      </c>
      <c r="D14" s="2" t="s">
        <v>9</v>
      </c>
      <c r="E14" s="2" t="s">
        <v>26</v>
      </c>
    </row>
    <row r="15" spans="1:5" x14ac:dyDescent="0.3">
      <c r="A15" s="12">
        <v>45662</v>
      </c>
      <c r="B15" s="19">
        <v>11242</v>
      </c>
      <c r="C15" s="3" t="s">
        <v>27</v>
      </c>
      <c r="D15" s="3" t="s">
        <v>9</v>
      </c>
      <c r="E15" s="3" t="s">
        <v>28</v>
      </c>
    </row>
    <row r="16" spans="1:5" x14ac:dyDescent="0.3">
      <c r="A16" s="11">
        <v>45727</v>
      </c>
      <c r="B16" s="18">
        <v>38422</v>
      </c>
      <c r="C16" s="2" t="s">
        <v>23</v>
      </c>
      <c r="D16" s="2" t="s">
        <v>6</v>
      </c>
      <c r="E16" s="2" t="s">
        <v>24</v>
      </c>
    </row>
    <row r="17" spans="1:5" x14ac:dyDescent="0.3">
      <c r="A17" s="12">
        <v>45693</v>
      </c>
      <c r="B17" s="19">
        <v>3606</v>
      </c>
      <c r="C17" s="3" t="s">
        <v>29</v>
      </c>
      <c r="D17" s="3" t="s">
        <v>6</v>
      </c>
      <c r="E17" s="3" t="s">
        <v>12</v>
      </c>
    </row>
    <row r="18" spans="1:5" x14ac:dyDescent="0.3">
      <c r="A18" s="11">
        <v>45730</v>
      </c>
      <c r="B18" s="18">
        <v>18810</v>
      </c>
      <c r="C18" s="2" t="s">
        <v>30</v>
      </c>
      <c r="D18" s="2" t="s">
        <v>9</v>
      </c>
      <c r="E18" s="2" t="s">
        <v>26</v>
      </c>
    </row>
    <row r="19" spans="1:5" x14ac:dyDescent="0.3">
      <c r="A19" s="12">
        <v>45726</v>
      </c>
      <c r="B19" s="19">
        <v>6035</v>
      </c>
      <c r="C19" s="3" t="s">
        <v>31</v>
      </c>
      <c r="D19" s="3" t="s">
        <v>9</v>
      </c>
      <c r="E19" s="3" t="s">
        <v>26</v>
      </c>
    </row>
    <row r="20" spans="1:5" x14ac:dyDescent="0.3">
      <c r="A20" s="11">
        <v>45760</v>
      </c>
      <c r="B20" s="18">
        <v>19162</v>
      </c>
      <c r="C20" s="2" t="s">
        <v>32</v>
      </c>
      <c r="D20" s="2" t="s">
        <v>9</v>
      </c>
      <c r="E20" s="2" t="s">
        <v>33</v>
      </c>
    </row>
    <row r="21" spans="1:5" x14ac:dyDescent="0.3">
      <c r="A21" s="12">
        <v>45824</v>
      </c>
      <c r="B21" s="19">
        <v>31442</v>
      </c>
      <c r="C21" s="3" t="s">
        <v>13</v>
      </c>
      <c r="D21" s="3" t="s">
        <v>6</v>
      </c>
      <c r="E21" s="3" t="s">
        <v>14</v>
      </c>
    </row>
    <row r="22" spans="1:5" x14ac:dyDescent="0.3">
      <c r="A22" s="11">
        <v>45784</v>
      </c>
      <c r="B22" s="18">
        <v>38022</v>
      </c>
      <c r="C22" s="2" t="s">
        <v>29</v>
      </c>
      <c r="D22" s="2" t="s">
        <v>6</v>
      </c>
      <c r="E22" s="2" t="s">
        <v>12</v>
      </c>
    </row>
    <row r="23" spans="1:5" x14ac:dyDescent="0.3">
      <c r="A23" s="12">
        <v>45762</v>
      </c>
      <c r="B23" s="19">
        <v>10158</v>
      </c>
      <c r="C23" s="3" t="s">
        <v>34</v>
      </c>
      <c r="D23" s="3" t="s">
        <v>9</v>
      </c>
      <c r="E23" s="3" t="s">
        <v>19</v>
      </c>
    </row>
    <row r="24" spans="1:5" x14ac:dyDescent="0.3">
      <c r="A24" s="11">
        <v>45678</v>
      </c>
      <c r="B24" s="18">
        <v>15743</v>
      </c>
      <c r="C24" s="2" t="s">
        <v>34</v>
      </c>
      <c r="D24" s="2" t="s">
        <v>9</v>
      </c>
      <c r="E24" s="2" t="s">
        <v>19</v>
      </c>
    </row>
    <row r="25" spans="1:5" x14ac:dyDescent="0.3">
      <c r="A25" s="12">
        <v>45819</v>
      </c>
      <c r="B25" s="19">
        <v>10471</v>
      </c>
      <c r="C25" s="3" t="s">
        <v>35</v>
      </c>
      <c r="D25" s="3" t="s">
        <v>9</v>
      </c>
      <c r="E25" s="3" t="s">
        <v>36</v>
      </c>
    </row>
    <row r="26" spans="1:5" x14ac:dyDescent="0.3">
      <c r="A26" s="11">
        <v>45679</v>
      </c>
      <c r="B26" s="18">
        <v>22199</v>
      </c>
      <c r="C26" s="2" t="s">
        <v>17</v>
      </c>
      <c r="D26" s="2" t="s">
        <v>6</v>
      </c>
      <c r="E26" s="2" t="s">
        <v>7</v>
      </c>
    </row>
    <row r="27" spans="1:5" x14ac:dyDescent="0.3">
      <c r="A27" s="12">
        <v>45794</v>
      </c>
      <c r="B27" s="19">
        <v>14619</v>
      </c>
      <c r="C27" s="3" t="s">
        <v>37</v>
      </c>
      <c r="D27" s="3" t="s">
        <v>9</v>
      </c>
      <c r="E27" s="3" t="s">
        <v>33</v>
      </c>
    </row>
    <row r="28" spans="1:5" x14ac:dyDescent="0.3">
      <c r="A28" s="11">
        <v>45687</v>
      </c>
      <c r="B28" s="18">
        <v>17757</v>
      </c>
      <c r="C28" s="2" t="s">
        <v>18</v>
      </c>
      <c r="D28" s="2" t="s">
        <v>9</v>
      </c>
      <c r="E28" s="2" t="s">
        <v>19</v>
      </c>
    </row>
    <row r="29" spans="1:5" x14ac:dyDescent="0.3">
      <c r="A29" s="12">
        <v>45775</v>
      </c>
      <c r="B29" s="19">
        <v>885</v>
      </c>
      <c r="C29" s="3" t="s">
        <v>38</v>
      </c>
      <c r="D29" s="3" t="s">
        <v>9</v>
      </c>
      <c r="E29" s="3" t="s">
        <v>39</v>
      </c>
    </row>
    <row r="30" spans="1:5" x14ac:dyDescent="0.3">
      <c r="A30" s="11">
        <v>45811</v>
      </c>
      <c r="B30" s="18">
        <v>15602</v>
      </c>
      <c r="C30" s="2" t="s">
        <v>40</v>
      </c>
      <c r="D30" s="2" t="s">
        <v>9</v>
      </c>
      <c r="E30" s="2" t="s">
        <v>33</v>
      </c>
    </row>
    <row r="31" spans="1:5" x14ac:dyDescent="0.3">
      <c r="A31" s="12">
        <v>45704</v>
      </c>
      <c r="B31" s="19">
        <v>4947</v>
      </c>
      <c r="C31" s="3" t="s">
        <v>41</v>
      </c>
      <c r="D31" s="3" t="s">
        <v>9</v>
      </c>
      <c r="E31" s="3" t="s">
        <v>21</v>
      </c>
    </row>
    <row r="32" spans="1:5" x14ac:dyDescent="0.3">
      <c r="A32" s="11">
        <v>45672</v>
      </c>
      <c r="B32" s="18">
        <v>19730</v>
      </c>
      <c r="C32" s="2" t="s">
        <v>42</v>
      </c>
      <c r="D32" s="2" t="s">
        <v>9</v>
      </c>
      <c r="E32" s="2" t="s">
        <v>16</v>
      </c>
    </row>
    <row r="33" spans="1:5" x14ac:dyDescent="0.3">
      <c r="A33" s="12">
        <v>45711</v>
      </c>
      <c r="B33" s="19">
        <v>6119</v>
      </c>
      <c r="C33" s="3" t="s">
        <v>18</v>
      </c>
      <c r="D33" s="3" t="s">
        <v>9</v>
      </c>
      <c r="E33" s="3" t="s">
        <v>19</v>
      </c>
    </row>
    <row r="34" spans="1:5" x14ac:dyDescent="0.3">
      <c r="A34" s="11">
        <v>45712</v>
      </c>
      <c r="B34" s="18">
        <v>13029</v>
      </c>
      <c r="C34" s="2" t="s">
        <v>43</v>
      </c>
      <c r="D34" s="2" t="s">
        <v>9</v>
      </c>
      <c r="E34" s="2" t="s">
        <v>39</v>
      </c>
    </row>
    <row r="35" spans="1:5" x14ac:dyDescent="0.3">
      <c r="A35" s="12">
        <v>45703</v>
      </c>
      <c r="B35" s="19">
        <v>36801</v>
      </c>
      <c r="C35" s="3" t="s">
        <v>44</v>
      </c>
      <c r="D35" s="3" t="s">
        <v>6</v>
      </c>
      <c r="E35" s="3" t="s">
        <v>14</v>
      </c>
    </row>
    <row r="36" spans="1:5" x14ac:dyDescent="0.3">
      <c r="A36" s="11">
        <v>45743</v>
      </c>
      <c r="B36" s="18">
        <v>1628</v>
      </c>
      <c r="C36" s="2" t="s">
        <v>22</v>
      </c>
      <c r="D36" s="2" t="s">
        <v>9</v>
      </c>
      <c r="E36" s="2" t="s">
        <v>16</v>
      </c>
    </row>
    <row r="37" spans="1:5" x14ac:dyDescent="0.3">
      <c r="A37" s="12">
        <v>45734</v>
      </c>
      <c r="B37" s="19">
        <v>719</v>
      </c>
      <c r="C37" s="3" t="s">
        <v>8</v>
      </c>
      <c r="D37" s="3" t="s">
        <v>9</v>
      </c>
      <c r="E37" s="3" t="s">
        <v>10</v>
      </c>
    </row>
    <row r="38" spans="1:5" x14ac:dyDescent="0.3">
      <c r="A38" s="11">
        <v>45803</v>
      </c>
      <c r="B38" s="18">
        <v>408</v>
      </c>
      <c r="C38" s="2" t="s">
        <v>45</v>
      </c>
      <c r="D38" s="2" t="s">
        <v>9</v>
      </c>
      <c r="E38" s="2" t="s">
        <v>46</v>
      </c>
    </row>
    <row r="39" spans="1:5" x14ac:dyDescent="0.3">
      <c r="A39" s="12">
        <v>45685</v>
      </c>
      <c r="B39" s="19">
        <v>8300</v>
      </c>
      <c r="C39" s="3" t="s">
        <v>47</v>
      </c>
      <c r="D39" s="3" t="s">
        <v>9</v>
      </c>
      <c r="E39" s="3" t="s">
        <v>10</v>
      </c>
    </row>
    <row r="40" spans="1:5" x14ac:dyDescent="0.3">
      <c r="A40" s="11">
        <v>45713</v>
      </c>
      <c r="B40" s="18">
        <v>19575</v>
      </c>
      <c r="C40" s="2" t="s">
        <v>42</v>
      </c>
      <c r="D40" s="2" t="s">
        <v>9</v>
      </c>
      <c r="E40" s="2" t="s">
        <v>16</v>
      </c>
    </row>
    <row r="41" spans="1:5" x14ac:dyDescent="0.3">
      <c r="A41" s="12">
        <v>45741</v>
      </c>
      <c r="B41" s="19">
        <v>3099</v>
      </c>
      <c r="C41" s="3" t="s">
        <v>48</v>
      </c>
      <c r="D41" s="3" t="s">
        <v>9</v>
      </c>
      <c r="E41" s="3" t="s">
        <v>46</v>
      </c>
    </row>
    <row r="42" spans="1:5" x14ac:dyDescent="0.3">
      <c r="A42" s="11">
        <v>45717</v>
      </c>
      <c r="B42" s="18">
        <v>1403</v>
      </c>
      <c r="C42" s="2" t="s">
        <v>49</v>
      </c>
      <c r="D42" s="2" t="s">
        <v>9</v>
      </c>
      <c r="E42" s="2" t="s">
        <v>39</v>
      </c>
    </row>
    <row r="43" spans="1:5" x14ac:dyDescent="0.3">
      <c r="A43" s="12">
        <v>45762</v>
      </c>
      <c r="B43" s="19">
        <v>28150</v>
      </c>
      <c r="C43" s="3" t="s">
        <v>50</v>
      </c>
      <c r="D43" s="3" t="s">
        <v>6</v>
      </c>
      <c r="E43" s="3" t="s">
        <v>7</v>
      </c>
    </row>
    <row r="44" spans="1:5" x14ac:dyDescent="0.3">
      <c r="A44" s="11">
        <v>45701</v>
      </c>
      <c r="B44" s="18">
        <v>14987</v>
      </c>
      <c r="C44" s="2" t="s">
        <v>34</v>
      </c>
      <c r="D44" s="2" t="s">
        <v>9</v>
      </c>
      <c r="E44" s="2" t="s">
        <v>19</v>
      </c>
    </row>
    <row r="45" spans="1:5" x14ac:dyDescent="0.3">
      <c r="A45" s="12">
        <v>45720</v>
      </c>
      <c r="B45" s="19">
        <v>16968</v>
      </c>
      <c r="C45" s="3" t="s">
        <v>51</v>
      </c>
      <c r="D45" s="3" t="s">
        <v>9</v>
      </c>
      <c r="E45" s="3" t="s">
        <v>52</v>
      </c>
    </row>
    <row r="46" spans="1:5" x14ac:dyDescent="0.3">
      <c r="A46" s="11">
        <v>45709</v>
      </c>
      <c r="B46" s="18">
        <v>5273</v>
      </c>
      <c r="C46" s="2" t="s">
        <v>53</v>
      </c>
      <c r="D46" s="2" t="s">
        <v>9</v>
      </c>
      <c r="E46" s="2" t="s">
        <v>54</v>
      </c>
    </row>
    <row r="47" spans="1:5" x14ac:dyDescent="0.3">
      <c r="A47" s="12">
        <v>45695</v>
      </c>
      <c r="B47" s="19">
        <v>14750</v>
      </c>
      <c r="C47" s="3" t="s">
        <v>49</v>
      </c>
      <c r="D47" s="3" t="s">
        <v>9</v>
      </c>
      <c r="E47" s="3" t="s">
        <v>39</v>
      </c>
    </row>
    <row r="48" spans="1:5" x14ac:dyDescent="0.3">
      <c r="A48" s="11">
        <v>45693</v>
      </c>
      <c r="B48" s="18">
        <v>12400</v>
      </c>
      <c r="C48" s="2" t="s">
        <v>55</v>
      </c>
      <c r="D48" s="2" t="s">
        <v>9</v>
      </c>
      <c r="E48" s="2" t="s">
        <v>10</v>
      </c>
    </row>
    <row r="49" spans="1:5" x14ac:dyDescent="0.3">
      <c r="A49" s="12">
        <v>45799</v>
      </c>
      <c r="B49" s="19">
        <v>12706</v>
      </c>
      <c r="C49" s="3" t="s">
        <v>43</v>
      </c>
      <c r="D49" s="3" t="s">
        <v>9</v>
      </c>
      <c r="E49" s="3" t="s">
        <v>39</v>
      </c>
    </row>
    <row r="50" spans="1:5" x14ac:dyDescent="0.3">
      <c r="A50" s="11">
        <v>45788</v>
      </c>
      <c r="B50" s="18">
        <v>11704</v>
      </c>
      <c r="C50" s="2" t="s">
        <v>56</v>
      </c>
      <c r="D50" s="2" t="s">
        <v>9</v>
      </c>
      <c r="E50" s="2" t="s">
        <v>54</v>
      </c>
    </row>
    <row r="51" spans="1:5" x14ac:dyDescent="0.3">
      <c r="A51" s="12">
        <v>45759</v>
      </c>
      <c r="B51" s="19">
        <v>18182</v>
      </c>
      <c r="C51" s="3" t="s">
        <v>57</v>
      </c>
      <c r="D51" s="3" t="s">
        <v>9</v>
      </c>
      <c r="E51" s="3" t="s">
        <v>52</v>
      </c>
    </row>
    <row r="52" spans="1:5" x14ac:dyDescent="0.3">
      <c r="A52" s="11">
        <v>45820</v>
      </c>
      <c r="B52" s="18">
        <v>5622</v>
      </c>
      <c r="C52" s="2" t="s">
        <v>22</v>
      </c>
      <c r="D52" s="2" t="s">
        <v>9</v>
      </c>
      <c r="E52" s="2" t="s">
        <v>16</v>
      </c>
    </row>
    <row r="53" spans="1:5" x14ac:dyDescent="0.3">
      <c r="A53" s="12">
        <v>45752</v>
      </c>
      <c r="B53" s="19">
        <v>783</v>
      </c>
      <c r="C53" s="3" t="s">
        <v>58</v>
      </c>
      <c r="D53" s="3" t="s">
        <v>9</v>
      </c>
      <c r="E53" s="3" t="s">
        <v>46</v>
      </c>
    </row>
    <row r="54" spans="1:5" x14ac:dyDescent="0.3">
      <c r="A54" s="11">
        <v>45759</v>
      </c>
      <c r="B54" s="18">
        <v>41463</v>
      </c>
      <c r="C54" s="2" t="s">
        <v>5</v>
      </c>
      <c r="D54" s="2" t="s">
        <v>6</v>
      </c>
      <c r="E54" s="2" t="s">
        <v>7</v>
      </c>
    </row>
    <row r="55" spans="1:5" x14ac:dyDescent="0.3">
      <c r="A55" s="12">
        <v>45679</v>
      </c>
      <c r="B55" s="19">
        <v>1062</v>
      </c>
      <c r="C55" s="3" t="s">
        <v>59</v>
      </c>
      <c r="D55" s="3" t="s">
        <v>9</v>
      </c>
      <c r="E55" s="3" t="s">
        <v>21</v>
      </c>
    </row>
    <row r="56" spans="1:5" x14ac:dyDescent="0.3">
      <c r="A56" s="11">
        <v>45756</v>
      </c>
      <c r="B56" s="18">
        <v>20054</v>
      </c>
      <c r="C56" s="2" t="s">
        <v>60</v>
      </c>
      <c r="D56" s="2" t="s">
        <v>6</v>
      </c>
      <c r="E56" s="2" t="s">
        <v>61</v>
      </c>
    </row>
    <row r="57" spans="1:5" x14ac:dyDescent="0.3">
      <c r="A57" s="12">
        <v>45754</v>
      </c>
      <c r="B57" s="19">
        <v>2768</v>
      </c>
      <c r="C57" s="3" t="s">
        <v>62</v>
      </c>
      <c r="D57" s="3" t="s">
        <v>9</v>
      </c>
      <c r="E57" s="3" t="s">
        <v>52</v>
      </c>
    </row>
    <row r="58" spans="1:5" x14ac:dyDescent="0.3">
      <c r="A58" s="11">
        <v>45832</v>
      </c>
      <c r="B58" s="18">
        <v>19345</v>
      </c>
      <c r="C58" s="2" t="s">
        <v>15</v>
      </c>
      <c r="D58" s="2" t="s">
        <v>9</v>
      </c>
      <c r="E58" s="2" t="s">
        <v>16</v>
      </c>
    </row>
    <row r="59" spans="1:5" x14ac:dyDescent="0.3">
      <c r="A59" s="12">
        <v>45786</v>
      </c>
      <c r="B59" s="19">
        <v>7170</v>
      </c>
      <c r="C59" s="3" t="s">
        <v>30</v>
      </c>
      <c r="D59" s="3" t="s">
        <v>9</v>
      </c>
      <c r="E59" s="3" t="s">
        <v>26</v>
      </c>
    </row>
    <row r="60" spans="1:5" x14ac:dyDescent="0.3">
      <c r="A60" s="11">
        <v>45750</v>
      </c>
      <c r="B60" s="18">
        <v>20187</v>
      </c>
      <c r="C60" s="2" t="s">
        <v>63</v>
      </c>
      <c r="D60" s="2" t="s">
        <v>6</v>
      </c>
      <c r="E60" s="2" t="s">
        <v>12</v>
      </c>
    </row>
    <row r="61" spans="1:5" x14ac:dyDescent="0.3">
      <c r="A61" s="12">
        <v>45830</v>
      </c>
      <c r="B61" s="19">
        <v>11804</v>
      </c>
      <c r="C61" s="3" t="s">
        <v>31</v>
      </c>
      <c r="D61" s="3" t="s">
        <v>9</v>
      </c>
      <c r="E61" s="3" t="s">
        <v>26</v>
      </c>
    </row>
    <row r="62" spans="1:5" x14ac:dyDescent="0.3">
      <c r="A62" s="11">
        <v>45714</v>
      </c>
      <c r="B62" s="18">
        <v>19873</v>
      </c>
      <c r="C62" s="2" t="s">
        <v>43</v>
      </c>
      <c r="D62" s="2" t="s">
        <v>9</v>
      </c>
      <c r="E62" s="2" t="s">
        <v>39</v>
      </c>
    </row>
    <row r="63" spans="1:5" x14ac:dyDescent="0.3">
      <c r="A63" s="12">
        <v>45694</v>
      </c>
      <c r="B63" s="19">
        <v>12413</v>
      </c>
      <c r="C63" s="3" t="s">
        <v>5</v>
      </c>
      <c r="D63" s="3" t="s">
        <v>6</v>
      </c>
      <c r="E63" s="3" t="s">
        <v>7</v>
      </c>
    </row>
    <row r="64" spans="1:5" x14ac:dyDescent="0.3">
      <c r="A64" s="11">
        <v>45725</v>
      </c>
      <c r="B64" s="18">
        <v>6264</v>
      </c>
      <c r="C64" s="2" t="s">
        <v>20</v>
      </c>
      <c r="D64" s="2" t="s">
        <v>9</v>
      </c>
      <c r="E64" s="2" t="s">
        <v>21</v>
      </c>
    </row>
    <row r="65" spans="1:5" x14ac:dyDescent="0.3">
      <c r="A65" s="12">
        <v>45830</v>
      </c>
      <c r="B65" s="19">
        <v>14993</v>
      </c>
      <c r="C65" s="3" t="s">
        <v>62</v>
      </c>
      <c r="D65" s="3" t="s">
        <v>9</v>
      </c>
      <c r="E65" s="3" t="s">
        <v>52</v>
      </c>
    </row>
    <row r="66" spans="1:5" x14ac:dyDescent="0.3">
      <c r="A66" s="11">
        <v>45725</v>
      </c>
      <c r="B66" s="18">
        <v>27793</v>
      </c>
      <c r="C66" s="2" t="s">
        <v>60</v>
      </c>
      <c r="D66" s="2" t="s">
        <v>6</v>
      </c>
      <c r="E66" s="2" t="s">
        <v>61</v>
      </c>
    </row>
    <row r="67" spans="1:5" x14ac:dyDescent="0.3">
      <c r="A67" s="12">
        <v>45758</v>
      </c>
      <c r="B67" s="19">
        <v>9318</v>
      </c>
      <c r="C67" s="3" t="s">
        <v>58</v>
      </c>
      <c r="D67" s="3" t="s">
        <v>9</v>
      </c>
      <c r="E67" s="3" t="s">
        <v>46</v>
      </c>
    </row>
    <row r="68" spans="1:5" x14ac:dyDescent="0.3">
      <c r="A68" s="11">
        <v>45666</v>
      </c>
      <c r="B68" s="18">
        <v>2965</v>
      </c>
      <c r="C68" s="2" t="s">
        <v>25</v>
      </c>
      <c r="D68" s="2" t="s">
        <v>9</v>
      </c>
      <c r="E68" s="2" t="s">
        <v>26</v>
      </c>
    </row>
    <row r="69" spans="1:5" x14ac:dyDescent="0.3">
      <c r="A69" s="12">
        <v>45709</v>
      </c>
      <c r="B69" s="19">
        <v>18092</v>
      </c>
      <c r="C69" s="3" t="s">
        <v>38</v>
      </c>
      <c r="D69" s="3" t="s">
        <v>9</v>
      </c>
      <c r="E69" s="3" t="s">
        <v>39</v>
      </c>
    </row>
    <row r="70" spans="1:5" x14ac:dyDescent="0.3">
      <c r="A70" s="11">
        <v>45683</v>
      </c>
      <c r="B70" s="18">
        <v>5991</v>
      </c>
      <c r="C70" s="2" t="s">
        <v>64</v>
      </c>
      <c r="D70" s="2" t="s">
        <v>9</v>
      </c>
      <c r="E70" s="2" t="s">
        <v>10</v>
      </c>
    </row>
    <row r="71" spans="1:5" x14ac:dyDescent="0.3">
      <c r="A71" s="12">
        <v>45697</v>
      </c>
      <c r="B71" s="19">
        <v>323</v>
      </c>
      <c r="C71" s="3" t="s">
        <v>30</v>
      </c>
      <c r="D71" s="3" t="s">
        <v>9</v>
      </c>
      <c r="E71" s="3" t="s">
        <v>26</v>
      </c>
    </row>
    <row r="72" spans="1:5" x14ac:dyDescent="0.3">
      <c r="A72" s="11">
        <v>45667</v>
      </c>
      <c r="B72" s="18">
        <v>4215</v>
      </c>
      <c r="C72" s="2" t="s">
        <v>62</v>
      </c>
      <c r="D72" s="2" t="s">
        <v>9</v>
      </c>
      <c r="E72" s="2" t="s">
        <v>52</v>
      </c>
    </row>
    <row r="73" spans="1:5" x14ac:dyDescent="0.3">
      <c r="A73" s="12">
        <v>45774</v>
      </c>
      <c r="B73" s="19">
        <v>22717</v>
      </c>
      <c r="C73" s="3" t="s">
        <v>50</v>
      </c>
      <c r="D73" s="3" t="s">
        <v>6</v>
      </c>
      <c r="E73" s="3" t="s">
        <v>7</v>
      </c>
    </row>
    <row r="74" spans="1:5" x14ac:dyDescent="0.3">
      <c r="A74" s="11">
        <v>45837</v>
      </c>
      <c r="B74" s="18">
        <v>3303</v>
      </c>
      <c r="C74" s="2" t="s">
        <v>38</v>
      </c>
      <c r="D74" s="2" t="s">
        <v>9</v>
      </c>
      <c r="E74" s="2" t="s">
        <v>39</v>
      </c>
    </row>
    <row r="75" spans="1:5" x14ac:dyDescent="0.3">
      <c r="A75" s="12">
        <v>45756</v>
      </c>
      <c r="B75" s="19">
        <v>6557</v>
      </c>
      <c r="C75" s="3" t="s">
        <v>31</v>
      </c>
      <c r="D75" s="3" t="s">
        <v>9</v>
      </c>
      <c r="E75" s="3" t="s">
        <v>26</v>
      </c>
    </row>
    <row r="76" spans="1:5" x14ac:dyDescent="0.3">
      <c r="A76" s="11">
        <v>45833</v>
      </c>
      <c r="B76" s="18">
        <v>37873</v>
      </c>
      <c r="C76" s="2" t="s">
        <v>65</v>
      </c>
      <c r="D76" s="2" t="s">
        <v>6</v>
      </c>
      <c r="E76" s="2" t="s">
        <v>61</v>
      </c>
    </row>
    <row r="77" spans="1:5" x14ac:dyDescent="0.3">
      <c r="A77" s="12">
        <v>45799</v>
      </c>
      <c r="B77" s="19">
        <v>13257</v>
      </c>
      <c r="C77" s="3" t="s">
        <v>44</v>
      </c>
      <c r="D77" s="3" t="s">
        <v>6</v>
      </c>
      <c r="E77" s="3" t="s">
        <v>14</v>
      </c>
    </row>
    <row r="78" spans="1:5" x14ac:dyDescent="0.3">
      <c r="A78" s="11">
        <v>45668</v>
      </c>
      <c r="B78" s="18">
        <v>8880</v>
      </c>
      <c r="C78" s="2" t="s">
        <v>44</v>
      </c>
      <c r="D78" s="2" t="s">
        <v>6</v>
      </c>
      <c r="E78" s="2" t="s">
        <v>14</v>
      </c>
    </row>
    <row r="79" spans="1:5" x14ac:dyDescent="0.3">
      <c r="A79" s="12">
        <v>45732</v>
      </c>
      <c r="B79" s="19">
        <v>1702</v>
      </c>
      <c r="C79" s="3" t="s">
        <v>38</v>
      </c>
      <c r="D79" s="3" t="s">
        <v>9</v>
      </c>
      <c r="E79" s="3" t="s">
        <v>39</v>
      </c>
    </row>
    <row r="80" spans="1:5" x14ac:dyDescent="0.3">
      <c r="A80" s="11">
        <v>45700</v>
      </c>
      <c r="B80" s="18">
        <v>7151</v>
      </c>
      <c r="C80" s="2" t="s">
        <v>66</v>
      </c>
      <c r="D80" s="2" t="s">
        <v>9</v>
      </c>
      <c r="E80" s="2" t="s">
        <v>36</v>
      </c>
    </row>
    <row r="81" spans="1:5" x14ac:dyDescent="0.3">
      <c r="A81" s="12">
        <v>45740</v>
      </c>
      <c r="B81" s="19">
        <v>13945</v>
      </c>
      <c r="C81" s="3" t="s">
        <v>42</v>
      </c>
      <c r="D81" s="3" t="s">
        <v>9</v>
      </c>
      <c r="E81" s="3" t="s">
        <v>16</v>
      </c>
    </row>
    <row r="82" spans="1:5" x14ac:dyDescent="0.3">
      <c r="A82" s="11">
        <v>45803</v>
      </c>
      <c r="B82" s="18">
        <v>16658</v>
      </c>
      <c r="C82" s="2" t="s">
        <v>48</v>
      </c>
      <c r="D82" s="2" t="s">
        <v>9</v>
      </c>
      <c r="E82" s="2" t="s">
        <v>46</v>
      </c>
    </row>
    <row r="83" spans="1:5" x14ac:dyDescent="0.3">
      <c r="A83" s="12">
        <v>45802</v>
      </c>
      <c r="B83" s="19">
        <v>14786</v>
      </c>
      <c r="C83" s="3" t="s">
        <v>51</v>
      </c>
      <c r="D83" s="3" t="s">
        <v>9</v>
      </c>
      <c r="E83" s="3" t="s">
        <v>52</v>
      </c>
    </row>
    <row r="84" spans="1:5" x14ac:dyDescent="0.3">
      <c r="A84" s="11">
        <v>45671</v>
      </c>
      <c r="B84" s="18">
        <v>2687</v>
      </c>
      <c r="C84" s="2" t="s">
        <v>67</v>
      </c>
      <c r="D84" s="2" t="s">
        <v>9</v>
      </c>
      <c r="E84" s="2" t="s">
        <v>19</v>
      </c>
    </row>
    <row r="85" spans="1:5" x14ac:dyDescent="0.3">
      <c r="A85" s="12">
        <v>45713</v>
      </c>
      <c r="B85" s="19">
        <v>4976</v>
      </c>
      <c r="C85" s="3" t="s">
        <v>20</v>
      </c>
      <c r="D85" s="3" t="s">
        <v>9</v>
      </c>
      <c r="E85" s="3" t="s">
        <v>21</v>
      </c>
    </row>
    <row r="86" spans="1:5" x14ac:dyDescent="0.3">
      <c r="A86" s="11">
        <v>45695</v>
      </c>
      <c r="B86" s="18">
        <v>18582</v>
      </c>
      <c r="C86" s="2" t="s">
        <v>58</v>
      </c>
      <c r="D86" s="2" t="s">
        <v>9</v>
      </c>
      <c r="E86" s="2" t="s">
        <v>46</v>
      </c>
    </row>
    <row r="87" spans="1:5" x14ac:dyDescent="0.3">
      <c r="A87" s="12">
        <v>45692</v>
      </c>
      <c r="B87" s="19">
        <v>9729</v>
      </c>
      <c r="C87" s="3" t="s">
        <v>68</v>
      </c>
      <c r="D87" s="3" t="s">
        <v>9</v>
      </c>
      <c r="E87" s="3" t="s">
        <v>36</v>
      </c>
    </row>
    <row r="88" spans="1:5" x14ac:dyDescent="0.3">
      <c r="A88" s="11">
        <v>45659</v>
      </c>
      <c r="B88" s="18">
        <v>1914</v>
      </c>
      <c r="C88" s="2" t="s">
        <v>69</v>
      </c>
      <c r="D88" s="2" t="s">
        <v>9</v>
      </c>
      <c r="E88" s="2" t="s">
        <v>54</v>
      </c>
    </row>
    <row r="89" spans="1:5" x14ac:dyDescent="0.3">
      <c r="A89" s="12">
        <v>45680</v>
      </c>
      <c r="B89" s="19">
        <v>33142</v>
      </c>
      <c r="C89" s="3" t="s">
        <v>5</v>
      </c>
      <c r="D89" s="3" t="s">
        <v>6</v>
      </c>
      <c r="E89" s="3" t="s">
        <v>7</v>
      </c>
    </row>
    <row r="90" spans="1:5" x14ac:dyDescent="0.3">
      <c r="A90" s="11">
        <v>45746</v>
      </c>
      <c r="B90" s="18">
        <v>8366</v>
      </c>
      <c r="C90" s="2" t="s">
        <v>50</v>
      </c>
      <c r="D90" s="2" t="s">
        <v>6</v>
      </c>
      <c r="E90" s="2" t="s">
        <v>7</v>
      </c>
    </row>
    <row r="91" spans="1:5" x14ac:dyDescent="0.3">
      <c r="A91" s="12">
        <v>45807</v>
      </c>
      <c r="B91" s="19">
        <v>29071</v>
      </c>
      <c r="C91" s="3" t="s">
        <v>23</v>
      </c>
      <c r="D91" s="3" t="s">
        <v>6</v>
      </c>
      <c r="E91" s="3" t="s">
        <v>24</v>
      </c>
    </row>
    <row r="92" spans="1:5" x14ac:dyDescent="0.3">
      <c r="A92" s="11">
        <v>45791</v>
      </c>
      <c r="B92" s="18">
        <v>14585</v>
      </c>
      <c r="C92" s="2" t="s">
        <v>18</v>
      </c>
      <c r="D92" s="2" t="s">
        <v>9</v>
      </c>
      <c r="E92" s="2" t="s">
        <v>19</v>
      </c>
    </row>
    <row r="93" spans="1:5" x14ac:dyDescent="0.3">
      <c r="A93" s="12">
        <v>45724</v>
      </c>
      <c r="B93" s="19">
        <v>7909</v>
      </c>
      <c r="C93" s="3" t="s">
        <v>70</v>
      </c>
      <c r="D93" s="3" t="s">
        <v>6</v>
      </c>
      <c r="E93" s="3" t="s">
        <v>24</v>
      </c>
    </row>
    <row r="94" spans="1:5" x14ac:dyDescent="0.3">
      <c r="A94" s="11">
        <v>45766</v>
      </c>
      <c r="B94" s="18">
        <v>13837</v>
      </c>
      <c r="C94" s="2" t="s">
        <v>42</v>
      </c>
      <c r="D94" s="2" t="s">
        <v>9</v>
      </c>
      <c r="E94" s="2" t="s">
        <v>16</v>
      </c>
    </row>
    <row r="95" spans="1:5" x14ac:dyDescent="0.3">
      <c r="A95" s="12">
        <v>45699</v>
      </c>
      <c r="B95" s="19">
        <v>3005</v>
      </c>
      <c r="C95" s="3" t="s">
        <v>15</v>
      </c>
      <c r="D95" s="3" t="s">
        <v>9</v>
      </c>
      <c r="E95" s="3" t="s">
        <v>16</v>
      </c>
    </row>
    <row r="96" spans="1:5" x14ac:dyDescent="0.3">
      <c r="A96" s="11">
        <v>45810</v>
      </c>
      <c r="B96" s="18">
        <v>10671</v>
      </c>
      <c r="C96" s="2" t="s">
        <v>59</v>
      </c>
      <c r="D96" s="2" t="s">
        <v>9</v>
      </c>
      <c r="E96" s="2" t="s">
        <v>21</v>
      </c>
    </row>
    <row r="97" spans="1:5" x14ac:dyDescent="0.3">
      <c r="A97" s="12">
        <v>45747</v>
      </c>
      <c r="B97" s="19">
        <v>15416</v>
      </c>
      <c r="C97" s="3" t="s">
        <v>51</v>
      </c>
      <c r="D97" s="3" t="s">
        <v>9</v>
      </c>
      <c r="E97" s="3" t="s">
        <v>52</v>
      </c>
    </row>
    <row r="98" spans="1:5" x14ac:dyDescent="0.3">
      <c r="A98" s="11">
        <v>45741</v>
      </c>
      <c r="B98" s="18">
        <v>6951</v>
      </c>
      <c r="C98" s="2" t="s">
        <v>25</v>
      </c>
      <c r="D98" s="2" t="s">
        <v>9</v>
      </c>
      <c r="E98" s="2" t="s">
        <v>26</v>
      </c>
    </row>
    <row r="99" spans="1:5" x14ac:dyDescent="0.3">
      <c r="A99" s="12">
        <v>45706</v>
      </c>
      <c r="B99" s="19">
        <v>10113</v>
      </c>
      <c r="C99" s="3" t="s">
        <v>45</v>
      </c>
      <c r="D99" s="3" t="s">
        <v>9</v>
      </c>
      <c r="E99" s="3" t="s">
        <v>46</v>
      </c>
    </row>
    <row r="100" spans="1:5" x14ac:dyDescent="0.3">
      <c r="A100" s="11">
        <v>45800</v>
      </c>
      <c r="B100" s="18">
        <v>2882</v>
      </c>
      <c r="C100" s="2" t="s">
        <v>45</v>
      </c>
      <c r="D100" s="2" t="s">
        <v>9</v>
      </c>
      <c r="E100" s="2" t="s">
        <v>46</v>
      </c>
    </row>
    <row r="101" spans="1:5" x14ac:dyDescent="0.3">
      <c r="A101" s="12">
        <v>45823</v>
      </c>
      <c r="B101" s="19">
        <v>5488</v>
      </c>
      <c r="C101" s="3" t="s">
        <v>71</v>
      </c>
      <c r="D101" s="3" t="s">
        <v>9</v>
      </c>
      <c r="E101" s="3" t="s">
        <v>28</v>
      </c>
    </row>
    <row r="102" spans="1:5" x14ac:dyDescent="0.3">
      <c r="A102" s="11">
        <v>45683</v>
      </c>
      <c r="B102" s="18">
        <v>15883</v>
      </c>
      <c r="C102" s="2" t="s">
        <v>59</v>
      </c>
      <c r="D102" s="2" t="s">
        <v>9</v>
      </c>
      <c r="E102" s="2" t="s">
        <v>21</v>
      </c>
    </row>
    <row r="103" spans="1:5" x14ac:dyDescent="0.3">
      <c r="A103" s="12">
        <v>45676</v>
      </c>
      <c r="B103" s="19">
        <v>11553</v>
      </c>
      <c r="C103" s="3" t="s">
        <v>64</v>
      </c>
      <c r="D103" s="3" t="s">
        <v>9</v>
      </c>
      <c r="E103" s="3" t="s">
        <v>10</v>
      </c>
    </row>
    <row r="104" spans="1:5" x14ac:dyDescent="0.3">
      <c r="A104" s="11">
        <v>45797</v>
      </c>
      <c r="B104" s="18">
        <v>43459</v>
      </c>
      <c r="C104" s="2" t="s">
        <v>63</v>
      </c>
      <c r="D104" s="2" t="s">
        <v>6</v>
      </c>
      <c r="E104" s="2" t="s">
        <v>12</v>
      </c>
    </row>
    <row r="105" spans="1:5" x14ac:dyDescent="0.3">
      <c r="A105" s="12">
        <v>45674</v>
      </c>
      <c r="B105" s="19">
        <v>10040</v>
      </c>
      <c r="C105" s="3" t="s">
        <v>51</v>
      </c>
      <c r="D105" s="3" t="s">
        <v>9</v>
      </c>
      <c r="E105" s="3" t="s">
        <v>52</v>
      </c>
    </row>
    <row r="106" spans="1:5" x14ac:dyDescent="0.3">
      <c r="A106" s="11">
        <v>45719</v>
      </c>
      <c r="B106" s="18">
        <v>14536</v>
      </c>
      <c r="C106" s="2" t="s">
        <v>72</v>
      </c>
      <c r="D106" s="2" t="s">
        <v>9</v>
      </c>
      <c r="E106" s="2" t="s">
        <v>54</v>
      </c>
    </row>
    <row r="107" spans="1:5" x14ac:dyDescent="0.3">
      <c r="A107" s="12">
        <v>45827</v>
      </c>
      <c r="B107" s="19">
        <v>13255</v>
      </c>
      <c r="C107" s="3" t="s">
        <v>60</v>
      </c>
      <c r="D107" s="3" t="s">
        <v>6</v>
      </c>
      <c r="E107" s="3" t="s">
        <v>61</v>
      </c>
    </row>
    <row r="108" spans="1:5" x14ac:dyDescent="0.3">
      <c r="A108" s="11">
        <v>45691</v>
      </c>
      <c r="B108" s="18">
        <v>11999</v>
      </c>
      <c r="C108" s="2" t="s">
        <v>64</v>
      </c>
      <c r="D108" s="2" t="s">
        <v>9</v>
      </c>
      <c r="E108" s="2" t="s">
        <v>10</v>
      </c>
    </row>
    <row r="109" spans="1:5" x14ac:dyDescent="0.3">
      <c r="A109" s="12">
        <v>45661</v>
      </c>
      <c r="B109" s="19">
        <v>39716</v>
      </c>
      <c r="C109" s="3" t="s">
        <v>50</v>
      </c>
      <c r="D109" s="3" t="s">
        <v>6</v>
      </c>
      <c r="E109" s="3" t="s">
        <v>7</v>
      </c>
    </row>
    <row r="110" spans="1:5" x14ac:dyDescent="0.3">
      <c r="A110" s="11">
        <v>45785</v>
      </c>
      <c r="B110" s="18">
        <v>16821</v>
      </c>
      <c r="C110" s="2" t="s">
        <v>73</v>
      </c>
      <c r="D110" s="2" t="s">
        <v>9</v>
      </c>
      <c r="E110" s="2" t="s">
        <v>46</v>
      </c>
    </row>
    <row r="111" spans="1:5" x14ac:dyDescent="0.3">
      <c r="A111" s="12">
        <v>45731</v>
      </c>
      <c r="B111" s="19">
        <v>23314</v>
      </c>
      <c r="C111" s="3" t="s">
        <v>23</v>
      </c>
      <c r="D111" s="3" t="s">
        <v>6</v>
      </c>
      <c r="E111" s="3" t="s">
        <v>24</v>
      </c>
    </row>
    <row r="112" spans="1:5" x14ac:dyDescent="0.3">
      <c r="A112" s="11">
        <v>45740</v>
      </c>
      <c r="B112" s="18">
        <v>27999</v>
      </c>
      <c r="C112" s="2" t="s">
        <v>63</v>
      </c>
      <c r="D112" s="2" t="s">
        <v>6</v>
      </c>
      <c r="E112" s="2" t="s">
        <v>12</v>
      </c>
    </row>
    <row r="113" spans="1:5" x14ac:dyDescent="0.3">
      <c r="A113" s="12">
        <v>45741</v>
      </c>
      <c r="B113" s="19">
        <v>41896</v>
      </c>
      <c r="C113" s="3" t="s">
        <v>74</v>
      </c>
      <c r="D113" s="3" t="s">
        <v>6</v>
      </c>
      <c r="E113" s="3" t="s">
        <v>61</v>
      </c>
    </row>
    <row r="114" spans="1:5" x14ac:dyDescent="0.3">
      <c r="A114" s="11">
        <v>45658</v>
      </c>
      <c r="B114" s="18">
        <v>38035</v>
      </c>
      <c r="C114" s="2" t="s">
        <v>17</v>
      </c>
      <c r="D114" s="2" t="s">
        <v>6</v>
      </c>
      <c r="E114" s="2" t="s">
        <v>7</v>
      </c>
    </row>
    <row r="115" spans="1:5" x14ac:dyDescent="0.3">
      <c r="A115" s="12">
        <v>45823</v>
      </c>
      <c r="B115" s="19">
        <v>8918</v>
      </c>
      <c r="C115" s="3" t="s">
        <v>31</v>
      </c>
      <c r="D115" s="3" t="s">
        <v>9</v>
      </c>
      <c r="E115" s="3" t="s">
        <v>26</v>
      </c>
    </row>
    <row r="116" spans="1:5" x14ac:dyDescent="0.3">
      <c r="A116" s="11">
        <v>45751</v>
      </c>
      <c r="B116" s="18">
        <v>33114</v>
      </c>
      <c r="C116" s="2" t="s">
        <v>17</v>
      </c>
      <c r="D116" s="2" t="s">
        <v>6</v>
      </c>
      <c r="E116" s="2" t="s">
        <v>7</v>
      </c>
    </row>
    <row r="117" spans="1:5" x14ac:dyDescent="0.3">
      <c r="A117" s="12">
        <v>45811</v>
      </c>
      <c r="B117" s="19">
        <v>14270</v>
      </c>
      <c r="C117" s="3" t="s">
        <v>47</v>
      </c>
      <c r="D117" s="3" t="s">
        <v>9</v>
      </c>
      <c r="E117" s="3" t="s">
        <v>10</v>
      </c>
    </row>
    <row r="118" spans="1:5" x14ac:dyDescent="0.3">
      <c r="A118" s="11">
        <v>45765</v>
      </c>
      <c r="B118" s="18">
        <v>7375</v>
      </c>
      <c r="C118" s="2" t="s">
        <v>75</v>
      </c>
      <c r="D118" s="2" t="s">
        <v>9</v>
      </c>
      <c r="E118" s="2" t="s">
        <v>28</v>
      </c>
    </row>
    <row r="119" spans="1:5" x14ac:dyDescent="0.3">
      <c r="A119" s="12">
        <v>45819</v>
      </c>
      <c r="B119" s="19">
        <v>9612</v>
      </c>
      <c r="C119" s="3" t="s">
        <v>22</v>
      </c>
      <c r="D119" s="3" t="s">
        <v>9</v>
      </c>
      <c r="E119" s="3" t="s">
        <v>16</v>
      </c>
    </row>
    <row r="120" spans="1:5" x14ac:dyDescent="0.3">
      <c r="A120" s="11">
        <v>45740</v>
      </c>
      <c r="B120" s="18">
        <v>4810</v>
      </c>
      <c r="C120" s="2" t="s">
        <v>76</v>
      </c>
      <c r="D120" s="2" t="s">
        <v>9</v>
      </c>
      <c r="E120" s="2" t="s">
        <v>16</v>
      </c>
    </row>
    <row r="121" spans="1:5" x14ac:dyDescent="0.3">
      <c r="A121" s="12">
        <v>45701</v>
      </c>
      <c r="B121" s="19">
        <v>48094</v>
      </c>
      <c r="C121" s="3" t="s">
        <v>5</v>
      </c>
      <c r="D121" s="3" t="s">
        <v>6</v>
      </c>
      <c r="E121" s="3" t="s">
        <v>7</v>
      </c>
    </row>
    <row r="122" spans="1:5" x14ac:dyDescent="0.3">
      <c r="A122" s="11">
        <v>45732</v>
      </c>
      <c r="B122" s="18">
        <v>39450</v>
      </c>
      <c r="C122" s="2" t="s">
        <v>13</v>
      </c>
      <c r="D122" s="2" t="s">
        <v>6</v>
      </c>
      <c r="E122" s="2" t="s">
        <v>14</v>
      </c>
    </row>
    <row r="123" spans="1:5" x14ac:dyDescent="0.3">
      <c r="A123" s="12">
        <v>45697</v>
      </c>
      <c r="B123" s="19">
        <v>44675</v>
      </c>
      <c r="C123" s="3" t="s">
        <v>17</v>
      </c>
      <c r="D123" s="3" t="s">
        <v>6</v>
      </c>
      <c r="E123" s="3" t="s">
        <v>7</v>
      </c>
    </row>
    <row r="124" spans="1:5" x14ac:dyDescent="0.3">
      <c r="A124" s="11">
        <v>45714</v>
      </c>
      <c r="B124" s="18">
        <v>4836</v>
      </c>
      <c r="C124" s="2" t="s">
        <v>35</v>
      </c>
      <c r="D124" s="2" t="s">
        <v>9</v>
      </c>
      <c r="E124" s="2" t="s">
        <v>36</v>
      </c>
    </row>
    <row r="125" spans="1:5" x14ac:dyDescent="0.3">
      <c r="A125" s="12">
        <v>45739</v>
      </c>
      <c r="B125" s="19">
        <v>4772</v>
      </c>
      <c r="C125" s="3" t="s">
        <v>55</v>
      </c>
      <c r="D125" s="3" t="s">
        <v>9</v>
      </c>
      <c r="E125" s="3" t="s">
        <v>10</v>
      </c>
    </row>
    <row r="126" spans="1:5" x14ac:dyDescent="0.3">
      <c r="A126" s="11">
        <v>45726</v>
      </c>
      <c r="B126" s="18">
        <v>7471</v>
      </c>
      <c r="C126" s="2" t="s">
        <v>62</v>
      </c>
      <c r="D126" s="2" t="s">
        <v>9</v>
      </c>
      <c r="E126" s="2" t="s">
        <v>52</v>
      </c>
    </row>
    <row r="127" spans="1:5" x14ac:dyDescent="0.3">
      <c r="A127" s="12">
        <v>45828</v>
      </c>
      <c r="B127" s="19">
        <v>3554</v>
      </c>
      <c r="C127" s="3" t="s">
        <v>77</v>
      </c>
      <c r="D127" s="3" t="s">
        <v>9</v>
      </c>
      <c r="E127" s="3" t="s">
        <v>28</v>
      </c>
    </row>
    <row r="128" spans="1:5" x14ac:dyDescent="0.3">
      <c r="A128" s="11">
        <v>45744</v>
      </c>
      <c r="B128" s="18">
        <v>13923</v>
      </c>
      <c r="C128" s="2" t="s">
        <v>56</v>
      </c>
      <c r="D128" s="2" t="s">
        <v>9</v>
      </c>
      <c r="E128" s="2" t="s">
        <v>54</v>
      </c>
    </row>
    <row r="129" spans="1:5" x14ac:dyDescent="0.3">
      <c r="A129" s="12">
        <v>45708</v>
      </c>
      <c r="B129" s="19">
        <v>3005</v>
      </c>
      <c r="C129" s="3" t="s">
        <v>35</v>
      </c>
      <c r="D129" s="3" t="s">
        <v>9</v>
      </c>
      <c r="E129" s="3" t="s">
        <v>36</v>
      </c>
    </row>
    <row r="130" spans="1:5" x14ac:dyDescent="0.3">
      <c r="A130" s="11">
        <v>45736</v>
      </c>
      <c r="B130" s="18">
        <v>1979</v>
      </c>
      <c r="C130" s="2" t="s">
        <v>22</v>
      </c>
      <c r="D130" s="2" t="s">
        <v>9</v>
      </c>
      <c r="E130" s="2" t="s">
        <v>16</v>
      </c>
    </row>
    <row r="131" spans="1:5" x14ac:dyDescent="0.3">
      <c r="A131" s="12">
        <v>45830</v>
      </c>
      <c r="B131" s="19">
        <v>44171</v>
      </c>
      <c r="C131" s="3" t="s">
        <v>78</v>
      </c>
      <c r="D131" s="3" t="s">
        <v>6</v>
      </c>
      <c r="E131" s="3" t="s">
        <v>14</v>
      </c>
    </row>
    <row r="132" spans="1:5" x14ac:dyDescent="0.3">
      <c r="A132" s="11">
        <v>45687</v>
      </c>
      <c r="B132" s="18">
        <v>3029</v>
      </c>
      <c r="C132" s="2" t="s">
        <v>59</v>
      </c>
      <c r="D132" s="2" t="s">
        <v>9</v>
      </c>
      <c r="E132" s="2" t="s">
        <v>21</v>
      </c>
    </row>
    <row r="133" spans="1:5" x14ac:dyDescent="0.3">
      <c r="A133" s="12">
        <v>45837</v>
      </c>
      <c r="B133" s="19">
        <v>14225</v>
      </c>
      <c r="C133" s="3" t="s">
        <v>66</v>
      </c>
      <c r="D133" s="3" t="s">
        <v>9</v>
      </c>
      <c r="E133" s="3" t="s">
        <v>36</v>
      </c>
    </row>
    <row r="134" spans="1:5" x14ac:dyDescent="0.3">
      <c r="A134" s="11">
        <v>45767</v>
      </c>
      <c r="B134" s="18">
        <v>8176</v>
      </c>
      <c r="C134" s="2" t="s">
        <v>76</v>
      </c>
      <c r="D134" s="2" t="s">
        <v>9</v>
      </c>
      <c r="E134" s="2" t="s">
        <v>16</v>
      </c>
    </row>
    <row r="135" spans="1:5" x14ac:dyDescent="0.3">
      <c r="A135" s="12">
        <v>45820</v>
      </c>
      <c r="B135" s="19">
        <v>13877</v>
      </c>
      <c r="C135" s="3" t="s">
        <v>11</v>
      </c>
      <c r="D135" s="3" t="s">
        <v>6</v>
      </c>
      <c r="E135" s="3" t="s">
        <v>12</v>
      </c>
    </row>
    <row r="136" spans="1:5" x14ac:dyDescent="0.3">
      <c r="A136" s="11">
        <v>45762</v>
      </c>
      <c r="B136" s="18">
        <v>9117</v>
      </c>
      <c r="C136" s="2" t="s">
        <v>22</v>
      </c>
      <c r="D136" s="2" t="s">
        <v>9</v>
      </c>
      <c r="E136" s="2" t="s">
        <v>16</v>
      </c>
    </row>
    <row r="137" spans="1:5" x14ac:dyDescent="0.3">
      <c r="A137" s="12">
        <v>45701</v>
      </c>
      <c r="B137" s="19">
        <v>4726</v>
      </c>
      <c r="C137" s="3" t="s">
        <v>73</v>
      </c>
      <c r="D137" s="3" t="s">
        <v>9</v>
      </c>
      <c r="E137" s="3" t="s">
        <v>46</v>
      </c>
    </row>
    <row r="138" spans="1:5" x14ac:dyDescent="0.3">
      <c r="A138" s="11">
        <v>45731</v>
      </c>
      <c r="B138" s="18">
        <v>6505</v>
      </c>
      <c r="C138" s="2" t="s">
        <v>38</v>
      </c>
      <c r="D138" s="2" t="s">
        <v>9</v>
      </c>
      <c r="E138" s="2" t="s">
        <v>39</v>
      </c>
    </row>
    <row r="139" spans="1:5" x14ac:dyDescent="0.3">
      <c r="A139" s="12">
        <v>45820</v>
      </c>
      <c r="B139" s="19">
        <v>12908</v>
      </c>
      <c r="C139" s="3" t="s">
        <v>79</v>
      </c>
      <c r="D139" s="3" t="s">
        <v>9</v>
      </c>
      <c r="E139" s="3" t="s">
        <v>33</v>
      </c>
    </row>
    <row r="140" spans="1:5" x14ac:dyDescent="0.3">
      <c r="A140" s="11">
        <v>45659</v>
      </c>
      <c r="B140" s="18">
        <v>3517</v>
      </c>
      <c r="C140" s="2" t="s">
        <v>67</v>
      </c>
      <c r="D140" s="2" t="s">
        <v>9</v>
      </c>
      <c r="E140" s="2" t="s">
        <v>19</v>
      </c>
    </row>
    <row r="141" spans="1:5" x14ac:dyDescent="0.3">
      <c r="A141" s="12">
        <v>45673</v>
      </c>
      <c r="B141" s="19">
        <v>24526</v>
      </c>
      <c r="C141" s="3" t="s">
        <v>11</v>
      </c>
      <c r="D141" s="3" t="s">
        <v>6</v>
      </c>
      <c r="E141" s="3" t="s">
        <v>12</v>
      </c>
    </row>
    <row r="142" spans="1:5" x14ac:dyDescent="0.3">
      <c r="A142" s="11">
        <v>45795</v>
      </c>
      <c r="B142" s="18">
        <v>45211</v>
      </c>
      <c r="C142" s="2" t="s">
        <v>11</v>
      </c>
      <c r="D142" s="2" t="s">
        <v>6</v>
      </c>
      <c r="E142" s="2" t="s">
        <v>12</v>
      </c>
    </row>
    <row r="143" spans="1:5" x14ac:dyDescent="0.3">
      <c r="A143" s="12">
        <v>45741</v>
      </c>
      <c r="B143" s="19">
        <v>18490</v>
      </c>
      <c r="C143" s="3" t="s">
        <v>11</v>
      </c>
      <c r="D143" s="3" t="s">
        <v>6</v>
      </c>
      <c r="E143" s="3" t="s">
        <v>12</v>
      </c>
    </row>
    <row r="144" spans="1:5" x14ac:dyDescent="0.3">
      <c r="A144" s="11">
        <v>45685</v>
      </c>
      <c r="B144" s="18">
        <v>3879</v>
      </c>
      <c r="C144" s="2" t="s">
        <v>78</v>
      </c>
      <c r="D144" s="2" t="s">
        <v>6</v>
      </c>
      <c r="E144" s="2" t="s">
        <v>14</v>
      </c>
    </row>
    <row r="145" spans="1:5" x14ac:dyDescent="0.3">
      <c r="A145" s="12">
        <v>45767</v>
      </c>
      <c r="B145" s="19">
        <v>17978</v>
      </c>
      <c r="C145" s="3" t="s">
        <v>43</v>
      </c>
      <c r="D145" s="3" t="s">
        <v>9</v>
      </c>
      <c r="E145" s="3" t="s">
        <v>39</v>
      </c>
    </row>
    <row r="146" spans="1:5" x14ac:dyDescent="0.3">
      <c r="A146" s="11">
        <v>45780</v>
      </c>
      <c r="B146" s="18">
        <v>41653</v>
      </c>
      <c r="C146" s="2" t="s">
        <v>13</v>
      </c>
      <c r="D146" s="2" t="s">
        <v>6</v>
      </c>
      <c r="E146" s="2" t="s">
        <v>14</v>
      </c>
    </row>
    <row r="147" spans="1:5" x14ac:dyDescent="0.3">
      <c r="A147" s="12">
        <v>45756</v>
      </c>
      <c r="B147" s="19">
        <v>6975</v>
      </c>
      <c r="C147" s="3" t="s">
        <v>17</v>
      </c>
      <c r="D147" s="3" t="s">
        <v>6</v>
      </c>
      <c r="E147" s="3" t="s">
        <v>7</v>
      </c>
    </row>
    <row r="148" spans="1:5" x14ac:dyDescent="0.3">
      <c r="A148" s="11">
        <v>45753</v>
      </c>
      <c r="B148" s="18">
        <v>13450</v>
      </c>
      <c r="C148" s="2" t="s">
        <v>59</v>
      </c>
      <c r="D148" s="2" t="s">
        <v>9</v>
      </c>
      <c r="E148" s="2" t="s">
        <v>21</v>
      </c>
    </row>
    <row r="149" spans="1:5" x14ac:dyDescent="0.3">
      <c r="A149" s="12">
        <v>45752</v>
      </c>
      <c r="B149" s="19">
        <v>18408</v>
      </c>
      <c r="C149" s="3" t="s">
        <v>31</v>
      </c>
      <c r="D149" s="3" t="s">
        <v>9</v>
      </c>
      <c r="E149" s="3" t="s">
        <v>26</v>
      </c>
    </row>
    <row r="150" spans="1:5" x14ac:dyDescent="0.3">
      <c r="A150" s="11">
        <v>45778</v>
      </c>
      <c r="B150" s="18">
        <v>18560</v>
      </c>
      <c r="C150" s="2" t="s">
        <v>73</v>
      </c>
      <c r="D150" s="2" t="s">
        <v>9</v>
      </c>
      <c r="E150" s="2" t="s">
        <v>46</v>
      </c>
    </row>
    <row r="151" spans="1:5" x14ac:dyDescent="0.3">
      <c r="A151" s="12">
        <v>45723</v>
      </c>
      <c r="B151" s="19">
        <v>11911</v>
      </c>
      <c r="C151" s="3" t="s">
        <v>18</v>
      </c>
      <c r="D151" s="3" t="s">
        <v>9</v>
      </c>
      <c r="E151" s="3" t="s">
        <v>19</v>
      </c>
    </row>
    <row r="152" spans="1:5" x14ac:dyDescent="0.3">
      <c r="A152" s="11">
        <v>45743</v>
      </c>
      <c r="B152" s="18">
        <v>20184</v>
      </c>
      <c r="C152" s="2" t="s">
        <v>60</v>
      </c>
      <c r="D152" s="2" t="s">
        <v>6</v>
      </c>
      <c r="E152" s="2" t="s">
        <v>61</v>
      </c>
    </row>
    <row r="153" spans="1:5" x14ac:dyDescent="0.3">
      <c r="A153" s="12">
        <v>45672</v>
      </c>
      <c r="B153" s="19">
        <v>5287</v>
      </c>
      <c r="C153" s="3" t="s">
        <v>59</v>
      </c>
      <c r="D153" s="3" t="s">
        <v>9</v>
      </c>
      <c r="E153" s="3" t="s">
        <v>21</v>
      </c>
    </row>
    <row r="154" spans="1:5" x14ac:dyDescent="0.3">
      <c r="A154" s="11">
        <v>45693</v>
      </c>
      <c r="B154" s="18">
        <v>14060</v>
      </c>
      <c r="C154" s="2" t="s">
        <v>47</v>
      </c>
      <c r="D154" s="2" t="s">
        <v>9</v>
      </c>
      <c r="E154" s="2" t="s">
        <v>10</v>
      </c>
    </row>
    <row r="155" spans="1:5" x14ac:dyDescent="0.3">
      <c r="A155" s="12">
        <v>45783</v>
      </c>
      <c r="B155" s="19">
        <v>7488</v>
      </c>
      <c r="C155" s="3" t="s">
        <v>71</v>
      </c>
      <c r="D155" s="3" t="s">
        <v>9</v>
      </c>
      <c r="E155" s="3" t="s">
        <v>28</v>
      </c>
    </row>
    <row r="156" spans="1:5" x14ac:dyDescent="0.3">
      <c r="A156" s="11">
        <v>45665</v>
      </c>
      <c r="B156" s="18">
        <v>36968</v>
      </c>
      <c r="C156" s="2" t="s">
        <v>63</v>
      </c>
      <c r="D156" s="2" t="s">
        <v>6</v>
      </c>
      <c r="E156" s="2" t="s">
        <v>12</v>
      </c>
    </row>
    <row r="157" spans="1:5" x14ac:dyDescent="0.3">
      <c r="A157" s="12">
        <v>45676</v>
      </c>
      <c r="B157" s="19">
        <v>12001</v>
      </c>
      <c r="C157" s="3" t="s">
        <v>75</v>
      </c>
      <c r="D157" s="3" t="s">
        <v>9</v>
      </c>
      <c r="E157" s="3" t="s">
        <v>28</v>
      </c>
    </row>
    <row r="158" spans="1:5" x14ac:dyDescent="0.3">
      <c r="A158" s="11">
        <v>45687</v>
      </c>
      <c r="B158" s="18">
        <v>40139</v>
      </c>
      <c r="C158" s="2" t="s">
        <v>70</v>
      </c>
      <c r="D158" s="2" t="s">
        <v>6</v>
      </c>
      <c r="E158" s="2" t="s">
        <v>24</v>
      </c>
    </row>
    <row r="159" spans="1:5" x14ac:dyDescent="0.3">
      <c r="A159" s="12">
        <v>45718</v>
      </c>
      <c r="B159" s="19">
        <v>902</v>
      </c>
      <c r="C159" s="3" t="s">
        <v>38</v>
      </c>
      <c r="D159" s="3" t="s">
        <v>9</v>
      </c>
      <c r="E159" s="3" t="s">
        <v>39</v>
      </c>
    </row>
    <row r="160" spans="1:5" x14ac:dyDescent="0.3">
      <c r="A160" s="11">
        <v>45834</v>
      </c>
      <c r="B160" s="18">
        <v>8980</v>
      </c>
      <c r="C160" s="2" t="s">
        <v>44</v>
      </c>
      <c r="D160" s="2" t="s">
        <v>6</v>
      </c>
      <c r="E160" s="2" t="s">
        <v>14</v>
      </c>
    </row>
    <row r="161" spans="1:5" x14ac:dyDescent="0.3">
      <c r="A161" s="12">
        <v>45787</v>
      </c>
      <c r="B161" s="19">
        <v>10492</v>
      </c>
      <c r="C161" s="3" t="s">
        <v>67</v>
      </c>
      <c r="D161" s="3" t="s">
        <v>9</v>
      </c>
      <c r="E161" s="3" t="s">
        <v>19</v>
      </c>
    </row>
    <row r="162" spans="1:5" x14ac:dyDescent="0.3">
      <c r="A162" s="11">
        <v>45775</v>
      </c>
      <c r="B162" s="18">
        <v>14972</v>
      </c>
      <c r="C162" s="2" t="s">
        <v>59</v>
      </c>
      <c r="D162" s="2" t="s">
        <v>9</v>
      </c>
      <c r="E162" s="2" t="s">
        <v>21</v>
      </c>
    </row>
    <row r="163" spans="1:5" x14ac:dyDescent="0.3">
      <c r="A163" s="12">
        <v>45749</v>
      </c>
      <c r="B163" s="19">
        <v>1749</v>
      </c>
      <c r="C163" s="3" t="s">
        <v>64</v>
      </c>
      <c r="D163" s="3" t="s">
        <v>9</v>
      </c>
      <c r="E163" s="3" t="s">
        <v>10</v>
      </c>
    </row>
    <row r="164" spans="1:5" x14ac:dyDescent="0.3">
      <c r="A164" s="11">
        <v>45751</v>
      </c>
      <c r="B164" s="18">
        <v>1193</v>
      </c>
      <c r="C164" s="2" t="s">
        <v>53</v>
      </c>
      <c r="D164" s="2" t="s">
        <v>9</v>
      </c>
      <c r="E164" s="2" t="s">
        <v>54</v>
      </c>
    </row>
    <row r="165" spans="1:5" x14ac:dyDescent="0.3">
      <c r="A165" s="12">
        <v>45805</v>
      </c>
      <c r="B165" s="19">
        <v>7776</v>
      </c>
      <c r="C165" s="3" t="s">
        <v>22</v>
      </c>
      <c r="D165" s="3" t="s">
        <v>9</v>
      </c>
      <c r="E165" s="3" t="s">
        <v>16</v>
      </c>
    </row>
    <row r="166" spans="1:5" x14ac:dyDescent="0.3">
      <c r="A166" s="11">
        <v>45809</v>
      </c>
      <c r="B166" s="18">
        <v>12776</v>
      </c>
      <c r="C166" s="2" t="s">
        <v>80</v>
      </c>
      <c r="D166" s="2" t="s">
        <v>9</v>
      </c>
      <c r="E166" s="2" t="s">
        <v>36</v>
      </c>
    </row>
    <row r="167" spans="1:5" x14ac:dyDescent="0.3">
      <c r="A167" s="12">
        <v>45811</v>
      </c>
      <c r="B167" s="19">
        <v>3197</v>
      </c>
      <c r="C167" s="3" t="s">
        <v>18</v>
      </c>
      <c r="D167" s="3" t="s">
        <v>9</v>
      </c>
      <c r="E167" s="3" t="s">
        <v>19</v>
      </c>
    </row>
    <row r="168" spans="1:5" x14ac:dyDescent="0.3">
      <c r="A168" s="11">
        <v>45827</v>
      </c>
      <c r="B168" s="18">
        <v>6240</v>
      </c>
      <c r="C168" s="2" t="s">
        <v>73</v>
      </c>
      <c r="D168" s="2" t="s">
        <v>9</v>
      </c>
      <c r="E168" s="2" t="s">
        <v>46</v>
      </c>
    </row>
    <row r="169" spans="1:5" x14ac:dyDescent="0.3">
      <c r="A169" s="12">
        <v>45806</v>
      </c>
      <c r="B169" s="19">
        <v>16562</v>
      </c>
      <c r="C169" s="3" t="s">
        <v>49</v>
      </c>
      <c r="D169" s="3" t="s">
        <v>9</v>
      </c>
      <c r="E169" s="3" t="s">
        <v>39</v>
      </c>
    </row>
    <row r="170" spans="1:5" x14ac:dyDescent="0.3">
      <c r="A170" s="11">
        <v>45725</v>
      </c>
      <c r="B170" s="18">
        <v>21384</v>
      </c>
      <c r="C170" s="2" t="s">
        <v>13</v>
      </c>
      <c r="D170" s="2" t="s">
        <v>6</v>
      </c>
      <c r="E170" s="2" t="s">
        <v>14</v>
      </c>
    </row>
    <row r="171" spans="1:5" x14ac:dyDescent="0.3">
      <c r="A171" s="12">
        <v>45680</v>
      </c>
      <c r="B171" s="19">
        <v>12079</v>
      </c>
      <c r="C171" s="3" t="s">
        <v>77</v>
      </c>
      <c r="D171" s="3" t="s">
        <v>9</v>
      </c>
      <c r="E171" s="3" t="s">
        <v>28</v>
      </c>
    </row>
    <row r="172" spans="1:5" x14ac:dyDescent="0.3">
      <c r="A172" s="11">
        <v>45680</v>
      </c>
      <c r="B172" s="18">
        <v>16931</v>
      </c>
      <c r="C172" s="2" t="s">
        <v>59</v>
      </c>
      <c r="D172" s="2" t="s">
        <v>9</v>
      </c>
      <c r="E172" s="2" t="s">
        <v>21</v>
      </c>
    </row>
    <row r="173" spans="1:5" x14ac:dyDescent="0.3">
      <c r="A173" s="12">
        <v>45727</v>
      </c>
      <c r="B173" s="19">
        <v>48992</v>
      </c>
      <c r="C173" s="3" t="s">
        <v>29</v>
      </c>
      <c r="D173" s="3" t="s">
        <v>6</v>
      </c>
      <c r="E173" s="3" t="s">
        <v>12</v>
      </c>
    </row>
    <row r="174" spans="1:5" x14ac:dyDescent="0.3">
      <c r="A174" s="11">
        <v>45773</v>
      </c>
      <c r="B174" s="18">
        <v>46151</v>
      </c>
      <c r="C174" s="2" t="s">
        <v>50</v>
      </c>
      <c r="D174" s="2" t="s">
        <v>6</v>
      </c>
      <c r="E174" s="2" t="s">
        <v>7</v>
      </c>
    </row>
    <row r="175" spans="1:5" x14ac:dyDescent="0.3">
      <c r="A175" s="12">
        <v>45752</v>
      </c>
      <c r="B175" s="19">
        <v>6987</v>
      </c>
      <c r="C175" s="3" t="s">
        <v>60</v>
      </c>
      <c r="D175" s="3" t="s">
        <v>6</v>
      </c>
      <c r="E175" s="3" t="s">
        <v>61</v>
      </c>
    </row>
    <row r="176" spans="1:5" x14ac:dyDescent="0.3">
      <c r="A176" s="11">
        <v>45699</v>
      </c>
      <c r="B176" s="18">
        <v>5347</v>
      </c>
      <c r="C176" s="2" t="s">
        <v>67</v>
      </c>
      <c r="D176" s="2" t="s">
        <v>9</v>
      </c>
      <c r="E176" s="2" t="s">
        <v>19</v>
      </c>
    </row>
    <row r="177" spans="1:5" x14ac:dyDescent="0.3">
      <c r="A177" s="12">
        <v>45736</v>
      </c>
      <c r="B177" s="19">
        <v>18382</v>
      </c>
      <c r="C177" s="3" t="s">
        <v>69</v>
      </c>
      <c r="D177" s="3" t="s">
        <v>9</v>
      </c>
      <c r="E177" s="3" t="s">
        <v>54</v>
      </c>
    </row>
    <row r="178" spans="1:5" x14ac:dyDescent="0.3">
      <c r="A178" s="11">
        <v>45753</v>
      </c>
      <c r="B178" s="18">
        <v>7665</v>
      </c>
      <c r="C178" s="2" t="s">
        <v>68</v>
      </c>
      <c r="D178" s="2" t="s">
        <v>9</v>
      </c>
      <c r="E178" s="2" t="s">
        <v>36</v>
      </c>
    </row>
    <row r="179" spans="1:5" x14ac:dyDescent="0.3">
      <c r="A179" s="12">
        <v>45796</v>
      </c>
      <c r="B179" s="19">
        <v>5485</v>
      </c>
      <c r="C179" s="3" t="s">
        <v>73</v>
      </c>
      <c r="D179" s="3" t="s">
        <v>9</v>
      </c>
      <c r="E179" s="3" t="s">
        <v>46</v>
      </c>
    </row>
    <row r="180" spans="1:5" x14ac:dyDescent="0.3">
      <c r="A180" s="11">
        <v>45755</v>
      </c>
      <c r="B180" s="18">
        <v>13589</v>
      </c>
      <c r="C180" s="2" t="s">
        <v>35</v>
      </c>
      <c r="D180" s="2" t="s">
        <v>9</v>
      </c>
      <c r="E180" s="2" t="s">
        <v>36</v>
      </c>
    </row>
    <row r="181" spans="1:5" x14ac:dyDescent="0.3">
      <c r="A181" s="12">
        <v>45749</v>
      </c>
      <c r="B181" s="19">
        <v>5325</v>
      </c>
      <c r="C181" s="3" t="s">
        <v>73</v>
      </c>
      <c r="D181" s="3" t="s">
        <v>9</v>
      </c>
      <c r="E181" s="3" t="s">
        <v>46</v>
      </c>
    </row>
    <row r="182" spans="1:5" x14ac:dyDescent="0.3">
      <c r="A182" s="11">
        <v>45810</v>
      </c>
      <c r="B182" s="18">
        <v>4724</v>
      </c>
      <c r="C182" s="2" t="s">
        <v>64</v>
      </c>
      <c r="D182" s="2" t="s">
        <v>9</v>
      </c>
      <c r="E182" s="2" t="s">
        <v>10</v>
      </c>
    </row>
    <row r="183" spans="1:5" x14ac:dyDescent="0.3">
      <c r="A183" s="12">
        <v>45738</v>
      </c>
      <c r="B183" s="19">
        <v>27391</v>
      </c>
      <c r="C183" s="3" t="s">
        <v>44</v>
      </c>
      <c r="D183" s="3" t="s">
        <v>6</v>
      </c>
      <c r="E183" s="3" t="s">
        <v>14</v>
      </c>
    </row>
    <row r="184" spans="1:5" x14ac:dyDescent="0.3">
      <c r="A184" s="11">
        <v>45699</v>
      </c>
      <c r="B184" s="18">
        <v>10991</v>
      </c>
      <c r="C184" s="2" t="s">
        <v>59</v>
      </c>
      <c r="D184" s="2" t="s">
        <v>9</v>
      </c>
      <c r="E184" s="2" t="s">
        <v>21</v>
      </c>
    </row>
    <row r="185" spans="1:5" x14ac:dyDescent="0.3">
      <c r="A185" s="12">
        <v>45704</v>
      </c>
      <c r="B185" s="19">
        <v>15709</v>
      </c>
      <c r="C185" s="3" t="s">
        <v>18</v>
      </c>
      <c r="D185" s="3" t="s">
        <v>9</v>
      </c>
      <c r="E185" s="3" t="s">
        <v>19</v>
      </c>
    </row>
    <row r="186" spans="1:5" x14ac:dyDescent="0.3">
      <c r="A186" s="11">
        <v>45782</v>
      </c>
      <c r="B186" s="18">
        <v>12062</v>
      </c>
      <c r="C186" s="2" t="s">
        <v>22</v>
      </c>
      <c r="D186" s="2" t="s">
        <v>9</v>
      </c>
      <c r="E186" s="2" t="s">
        <v>16</v>
      </c>
    </row>
    <row r="187" spans="1:5" x14ac:dyDescent="0.3">
      <c r="A187" s="12">
        <v>45821</v>
      </c>
      <c r="B187" s="19">
        <v>13598</v>
      </c>
      <c r="C187" s="3" t="s">
        <v>41</v>
      </c>
      <c r="D187" s="3" t="s">
        <v>9</v>
      </c>
      <c r="E187" s="3" t="s">
        <v>21</v>
      </c>
    </row>
    <row r="188" spans="1:5" x14ac:dyDescent="0.3">
      <c r="A188" s="11">
        <v>45701</v>
      </c>
      <c r="B188" s="18">
        <v>687</v>
      </c>
      <c r="C188" s="2" t="s">
        <v>22</v>
      </c>
      <c r="D188" s="2" t="s">
        <v>9</v>
      </c>
      <c r="E188" s="2" t="s">
        <v>16</v>
      </c>
    </row>
    <row r="189" spans="1:5" x14ac:dyDescent="0.3">
      <c r="A189" s="12">
        <v>45775</v>
      </c>
      <c r="B189" s="19">
        <v>14380</v>
      </c>
      <c r="C189" s="3" t="s">
        <v>68</v>
      </c>
      <c r="D189" s="3" t="s">
        <v>9</v>
      </c>
      <c r="E189" s="3" t="s">
        <v>36</v>
      </c>
    </row>
    <row r="190" spans="1:5" x14ac:dyDescent="0.3">
      <c r="A190" s="11">
        <v>45780</v>
      </c>
      <c r="B190" s="18">
        <v>8302</v>
      </c>
      <c r="C190" s="2" t="s">
        <v>55</v>
      </c>
      <c r="D190" s="2" t="s">
        <v>9</v>
      </c>
      <c r="E190" s="2" t="s">
        <v>10</v>
      </c>
    </row>
    <row r="191" spans="1:5" x14ac:dyDescent="0.3">
      <c r="A191" s="12">
        <v>45723</v>
      </c>
      <c r="B191" s="19">
        <v>6603</v>
      </c>
      <c r="C191" s="3" t="s">
        <v>71</v>
      </c>
      <c r="D191" s="3" t="s">
        <v>9</v>
      </c>
      <c r="E191" s="3" t="s">
        <v>28</v>
      </c>
    </row>
    <row r="192" spans="1:5" x14ac:dyDescent="0.3">
      <c r="A192" s="11">
        <v>45688</v>
      </c>
      <c r="B192" s="18">
        <v>14548</v>
      </c>
      <c r="C192" s="2" t="s">
        <v>49</v>
      </c>
      <c r="D192" s="2" t="s">
        <v>9</v>
      </c>
      <c r="E192" s="2" t="s">
        <v>39</v>
      </c>
    </row>
    <row r="193" spans="1:5" x14ac:dyDescent="0.3">
      <c r="A193" s="12">
        <v>45731</v>
      </c>
      <c r="B193" s="19">
        <v>8242</v>
      </c>
      <c r="C193" s="3" t="s">
        <v>80</v>
      </c>
      <c r="D193" s="3" t="s">
        <v>9</v>
      </c>
      <c r="E193" s="3" t="s">
        <v>36</v>
      </c>
    </row>
    <row r="194" spans="1:5" x14ac:dyDescent="0.3">
      <c r="A194" s="11">
        <v>45746</v>
      </c>
      <c r="B194" s="18">
        <v>5238</v>
      </c>
      <c r="C194" s="2" t="s">
        <v>69</v>
      </c>
      <c r="D194" s="2" t="s">
        <v>9</v>
      </c>
      <c r="E194" s="2" t="s">
        <v>54</v>
      </c>
    </row>
    <row r="195" spans="1:5" x14ac:dyDescent="0.3">
      <c r="A195" s="12">
        <v>45711</v>
      </c>
      <c r="B195" s="19">
        <v>15987</v>
      </c>
      <c r="C195" s="3" t="s">
        <v>29</v>
      </c>
      <c r="D195" s="3" t="s">
        <v>6</v>
      </c>
      <c r="E195" s="3" t="s">
        <v>12</v>
      </c>
    </row>
    <row r="196" spans="1:5" x14ac:dyDescent="0.3">
      <c r="A196" s="11">
        <v>45798</v>
      </c>
      <c r="B196" s="18">
        <v>14511</v>
      </c>
      <c r="C196" s="2" t="s">
        <v>62</v>
      </c>
      <c r="D196" s="2" t="s">
        <v>9</v>
      </c>
      <c r="E196" s="2" t="s">
        <v>52</v>
      </c>
    </row>
    <row r="197" spans="1:5" x14ac:dyDescent="0.3">
      <c r="A197" s="12">
        <v>45825</v>
      </c>
      <c r="B197" s="19">
        <v>2629</v>
      </c>
      <c r="C197" s="3" t="s">
        <v>77</v>
      </c>
      <c r="D197" s="3" t="s">
        <v>9</v>
      </c>
      <c r="E197" s="3" t="s">
        <v>28</v>
      </c>
    </row>
    <row r="198" spans="1:5" x14ac:dyDescent="0.3">
      <c r="A198" s="11">
        <v>45718</v>
      </c>
      <c r="B198" s="18">
        <v>20094</v>
      </c>
      <c r="C198" s="2" t="s">
        <v>60</v>
      </c>
      <c r="D198" s="2" t="s">
        <v>6</v>
      </c>
      <c r="E198" s="2" t="s">
        <v>61</v>
      </c>
    </row>
    <row r="199" spans="1:5" x14ac:dyDescent="0.3">
      <c r="A199" s="12">
        <v>45765</v>
      </c>
      <c r="B199" s="19">
        <v>16063</v>
      </c>
      <c r="C199" s="3" t="s">
        <v>50</v>
      </c>
      <c r="D199" s="3" t="s">
        <v>6</v>
      </c>
      <c r="E199" s="3" t="s">
        <v>7</v>
      </c>
    </row>
    <row r="200" spans="1:5" x14ac:dyDescent="0.3">
      <c r="A200" s="11">
        <v>45756</v>
      </c>
      <c r="B200" s="18">
        <v>17120</v>
      </c>
      <c r="C200" s="2" t="s">
        <v>80</v>
      </c>
      <c r="D200" s="2" t="s">
        <v>9</v>
      </c>
      <c r="E200" s="2" t="s">
        <v>36</v>
      </c>
    </row>
    <row r="201" spans="1:5" x14ac:dyDescent="0.3">
      <c r="A201" s="12">
        <v>45835</v>
      </c>
      <c r="B201" s="19">
        <v>10804</v>
      </c>
      <c r="C201" s="3" t="s">
        <v>75</v>
      </c>
      <c r="D201" s="3" t="s">
        <v>9</v>
      </c>
      <c r="E201" s="3" t="s">
        <v>28</v>
      </c>
    </row>
    <row r="202" spans="1:5" x14ac:dyDescent="0.3">
      <c r="A202" s="11">
        <v>45741</v>
      </c>
      <c r="B202" s="18">
        <v>33111</v>
      </c>
      <c r="C202" s="2" t="s">
        <v>70</v>
      </c>
      <c r="D202" s="2" t="s">
        <v>6</v>
      </c>
      <c r="E202" s="2" t="s">
        <v>24</v>
      </c>
    </row>
    <row r="203" spans="1:5" x14ac:dyDescent="0.3">
      <c r="A203" s="12">
        <v>45835</v>
      </c>
      <c r="B203" s="19">
        <v>3079</v>
      </c>
      <c r="C203" s="3" t="s">
        <v>20</v>
      </c>
      <c r="D203" s="3" t="s">
        <v>9</v>
      </c>
      <c r="E203" s="3" t="s">
        <v>21</v>
      </c>
    </row>
    <row r="204" spans="1:5" x14ac:dyDescent="0.3">
      <c r="A204" s="11">
        <v>45817</v>
      </c>
      <c r="B204" s="18">
        <v>18548</v>
      </c>
      <c r="C204" s="2" t="s">
        <v>67</v>
      </c>
      <c r="D204" s="2" t="s">
        <v>9</v>
      </c>
      <c r="E204" s="2" t="s">
        <v>19</v>
      </c>
    </row>
    <row r="205" spans="1:5" x14ac:dyDescent="0.3">
      <c r="A205" s="12">
        <v>45749</v>
      </c>
      <c r="B205" s="19">
        <v>16628</v>
      </c>
      <c r="C205" s="3" t="s">
        <v>18</v>
      </c>
      <c r="D205" s="3" t="s">
        <v>9</v>
      </c>
      <c r="E205" s="3" t="s">
        <v>19</v>
      </c>
    </row>
    <row r="206" spans="1:5" x14ac:dyDescent="0.3">
      <c r="A206" s="11">
        <v>45791</v>
      </c>
      <c r="B206" s="18">
        <v>614</v>
      </c>
      <c r="C206" s="2" t="s">
        <v>59</v>
      </c>
      <c r="D206" s="2" t="s">
        <v>9</v>
      </c>
      <c r="E206" s="2" t="s">
        <v>21</v>
      </c>
    </row>
    <row r="207" spans="1:5" x14ac:dyDescent="0.3">
      <c r="A207" s="12">
        <v>45778</v>
      </c>
      <c r="B207" s="19">
        <v>25995</v>
      </c>
      <c r="C207" s="3" t="s">
        <v>44</v>
      </c>
      <c r="D207" s="3" t="s">
        <v>6</v>
      </c>
      <c r="E207" s="3" t="s">
        <v>14</v>
      </c>
    </row>
    <row r="208" spans="1:5" x14ac:dyDescent="0.3">
      <c r="A208" s="11">
        <v>45674</v>
      </c>
      <c r="B208" s="18">
        <v>29140</v>
      </c>
      <c r="C208" s="2" t="s">
        <v>23</v>
      </c>
      <c r="D208" s="2" t="s">
        <v>6</v>
      </c>
      <c r="E208" s="2" t="s">
        <v>24</v>
      </c>
    </row>
    <row r="209" spans="1:5" x14ac:dyDescent="0.3">
      <c r="A209" s="12">
        <v>45740</v>
      </c>
      <c r="B209" s="19">
        <v>8997</v>
      </c>
      <c r="C209" s="3" t="s">
        <v>18</v>
      </c>
      <c r="D209" s="3" t="s">
        <v>9</v>
      </c>
      <c r="E209" s="3" t="s">
        <v>19</v>
      </c>
    </row>
    <row r="210" spans="1:5" x14ac:dyDescent="0.3">
      <c r="A210" s="11">
        <v>45809</v>
      </c>
      <c r="B210" s="18">
        <v>18749</v>
      </c>
      <c r="C210" s="2" t="s">
        <v>55</v>
      </c>
      <c r="D210" s="2" t="s">
        <v>9</v>
      </c>
      <c r="E210" s="2" t="s">
        <v>10</v>
      </c>
    </row>
    <row r="211" spans="1:5" x14ac:dyDescent="0.3">
      <c r="A211" s="12">
        <v>45718</v>
      </c>
      <c r="B211" s="19">
        <v>8672</v>
      </c>
      <c r="C211" s="3" t="s">
        <v>37</v>
      </c>
      <c r="D211" s="3" t="s">
        <v>9</v>
      </c>
      <c r="E211" s="3" t="s">
        <v>33</v>
      </c>
    </row>
    <row r="212" spans="1:5" x14ac:dyDescent="0.3">
      <c r="A212" s="11">
        <v>45796</v>
      </c>
      <c r="B212" s="18">
        <v>13059</v>
      </c>
      <c r="C212" s="2" t="s">
        <v>56</v>
      </c>
      <c r="D212" s="2" t="s">
        <v>9</v>
      </c>
      <c r="E212" s="2" t="s">
        <v>54</v>
      </c>
    </row>
    <row r="213" spans="1:5" x14ac:dyDescent="0.3">
      <c r="A213" s="12">
        <v>45829</v>
      </c>
      <c r="B213" s="19">
        <v>9132</v>
      </c>
      <c r="C213" s="3" t="s">
        <v>37</v>
      </c>
      <c r="D213" s="3" t="s">
        <v>9</v>
      </c>
      <c r="E213" s="3" t="s">
        <v>33</v>
      </c>
    </row>
    <row r="214" spans="1:5" x14ac:dyDescent="0.3">
      <c r="A214" s="11">
        <v>45683</v>
      </c>
      <c r="B214" s="18">
        <v>10825</v>
      </c>
      <c r="C214" s="2" t="s">
        <v>49</v>
      </c>
      <c r="D214" s="2" t="s">
        <v>9</v>
      </c>
      <c r="E214" s="2" t="s">
        <v>39</v>
      </c>
    </row>
    <row r="215" spans="1:5" x14ac:dyDescent="0.3">
      <c r="A215" s="12">
        <v>45742</v>
      </c>
      <c r="B215" s="19">
        <v>8809</v>
      </c>
      <c r="C215" s="3" t="s">
        <v>68</v>
      </c>
      <c r="D215" s="3" t="s">
        <v>9</v>
      </c>
      <c r="E215" s="3" t="s">
        <v>36</v>
      </c>
    </row>
    <row r="216" spans="1:5" x14ac:dyDescent="0.3">
      <c r="A216" s="11">
        <v>45752</v>
      </c>
      <c r="B216" s="18">
        <v>30883</v>
      </c>
      <c r="C216" s="2" t="s">
        <v>70</v>
      </c>
      <c r="D216" s="2" t="s">
        <v>6</v>
      </c>
      <c r="E216" s="2" t="s">
        <v>24</v>
      </c>
    </row>
    <row r="217" spans="1:5" x14ac:dyDescent="0.3">
      <c r="A217" s="12">
        <v>45726</v>
      </c>
      <c r="B217" s="19">
        <v>8246</v>
      </c>
      <c r="C217" s="3" t="s">
        <v>72</v>
      </c>
      <c r="D217" s="3" t="s">
        <v>9</v>
      </c>
      <c r="E217" s="3" t="s">
        <v>54</v>
      </c>
    </row>
    <row r="218" spans="1:5" x14ac:dyDescent="0.3">
      <c r="A218" s="11">
        <v>45674</v>
      </c>
      <c r="B218" s="18">
        <v>2440</v>
      </c>
      <c r="C218" s="2" t="s">
        <v>80</v>
      </c>
      <c r="D218" s="2" t="s">
        <v>9</v>
      </c>
      <c r="E218" s="2" t="s">
        <v>36</v>
      </c>
    </row>
    <row r="219" spans="1:5" x14ac:dyDescent="0.3">
      <c r="A219" s="12">
        <v>45822</v>
      </c>
      <c r="B219" s="19">
        <v>19469</v>
      </c>
      <c r="C219" s="3" t="s">
        <v>59</v>
      </c>
      <c r="D219" s="3" t="s">
        <v>9</v>
      </c>
      <c r="E219" s="3" t="s">
        <v>21</v>
      </c>
    </row>
    <row r="220" spans="1:5" x14ac:dyDescent="0.3">
      <c r="A220" s="11">
        <v>45668</v>
      </c>
      <c r="B220" s="18">
        <v>19303</v>
      </c>
      <c r="C220" s="2" t="s">
        <v>59</v>
      </c>
      <c r="D220" s="2" t="s">
        <v>9</v>
      </c>
      <c r="E220" s="2" t="s">
        <v>21</v>
      </c>
    </row>
    <row r="221" spans="1:5" x14ac:dyDescent="0.3">
      <c r="A221" s="12">
        <v>45713</v>
      </c>
      <c r="B221" s="19">
        <v>31618</v>
      </c>
      <c r="C221" s="3" t="s">
        <v>44</v>
      </c>
      <c r="D221" s="3" t="s">
        <v>6</v>
      </c>
      <c r="E221" s="3" t="s">
        <v>14</v>
      </c>
    </row>
    <row r="222" spans="1:5" x14ac:dyDescent="0.3">
      <c r="A222" s="11">
        <v>45693</v>
      </c>
      <c r="B222" s="18">
        <v>7391</v>
      </c>
      <c r="C222" s="2" t="s">
        <v>34</v>
      </c>
      <c r="D222" s="2" t="s">
        <v>9</v>
      </c>
      <c r="E222" s="2" t="s">
        <v>19</v>
      </c>
    </row>
    <row r="223" spans="1:5" x14ac:dyDescent="0.3">
      <c r="A223" s="12">
        <v>45724</v>
      </c>
      <c r="B223" s="19">
        <v>9792</v>
      </c>
      <c r="C223" s="3" t="s">
        <v>47</v>
      </c>
      <c r="D223" s="3" t="s">
        <v>9</v>
      </c>
      <c r="E223" s="3" t="s">
        <v>10</v>
      </c>
    </row>
    <row r="224" spans="1:5" x14ac:dyDescent="0.3">
      <c r="A224" s="11">
        <v>45727</v>
      </c>
      <c r="B224" s="18">
        <v>7827</v>
      </c>
      <c r="C224" s="2" t="s">
        <v>15</v>
      </c>
      <c r="D224" s="2" t="s">
        <v>9</v>
      </c>
      <c r="E224" s="2" t="s">
        <v>16</v>
      </c>
    </row>
    <row r="225" spans="1:5" x14ac:dyDescent="0.3">
      <c r="A225" s="12">
        <v>45776</v>
      </c>
      <c r="B225" s="19">
        <v>9706</v>
      </c>
      <c r="C225" s="3" t="s">
        <v>70</v>
      </c>
      <c r="D225" s="3" t="s">
        <v>6</v>
      </c>
      <c r="E225" s="3" t="s">
        <v>24</v>
      </c>
    </row>
    <row r="226" spans="1:5" x14ac:dyDescent="0.3">
      <c r="A226" s="11">
        <v>45809</v>
      </c>
      <c r="B226" s="18">
        <v>31021</v>
      </c>
      <c r="C226" s="2" t="s">
        <v>5</v>
      </c>
      <c r="D226" s="2" t="s">
        <v>6</v>
      </c>
      <c r="E226" s="2" t="s">
        <v>7</v>
      </c>
    </row>
    <row r="227" spans="1:5" x14ac:dyDescent="0.3">
      <c r="A227" s="12">
        <v>45680</v>
      </c>
      <c r="B227" s="19">
        <v>30368</v>
      </c>
      <c r="C227" s="3" t="s">
        <v>23</v>
      </c>
      <c r="D227" s="3" t="s">
        <v>6</v>
      </c>
      <c r="E227" s="3" t="s">
        <v>24</v>
      </c>
    </row>
    <row r="228" spans="1:5" x14ac:dyDescent="0.3">
      <c r="A228" s="11">
        <v>45687</v>
      </c>
      <c r="B228" s="18">
        <v>24957</v>
      </c>
      <c r="C228" s="2" t="s">
        <v>23</v>
      </c>
      <c r="D228" s="2" t="s">
        <v>6</v>
      </c>
      <c r="E228" s="2" t="s">
        <v>24</v>
      </c>
    </row>
    <row r="229" spans="1:5" x14ac:dyDescent="0.3">
      <c r="A229" s="12">
        <v>45827</v>
      </c>
      <c r="B229" s="19">
        <v>13423</v>
      </c>
      <c r="C229" s="3" t="s">
        <v>40</v>
      </c>
      <c r="D229" s="3" t="s">
        <v>9</v>
      </c>
      <c r="E229" s="3" t="s">
        <v>33</v>
      </c>
    </row>
    <row r="230" spans="1:5" x14ac:dyDescent="0.3">
      <c r="A230" s="11">
        <v>45759</v>
      </c>
      <c r="B230" s="18">
        <v>10988</v>
      </c>
      <c r="C230" s="2" t="s">
        <v>20</v>
      </c>
      <c r="D230" s="2" t="s">
        <v>9</v>
      </c>
      <c r="E230" s="2" t="s">
        <v>21</v>
      </c>
    </row>
    <row r="231" spans="1:5" x14ac:dyDescent="0.3">
      <c r="A231" s="12">
        <v>45749</v>
      </c>
      <c r="B231" s="19">
        <v>39909</v>
      </c>
      <c r="C231" s="3" t="s">
        <v>63</v>
      </c>
      <c r="D231" s="3" t="s">
        <v>6</v>
      </c>
      <c r="E231" s="3" t="s">
        <v>12</v>
      </c>
    </row>
    <row r="232" spans="1:5" x14ac:dyDescent="0.3">
      <c r="A232" s="11">
        <v>45798</v>
      </c>
      <c r="B232" s="18">
        <v>2135</v>
      </c>
      <c r="C232" s="2" t="s">
        <v>79</v>
      </c>
      <c r="D232" s="2" t="s">
        <v>9</v>
      </c>
      <c r="E232" s="2" t="s">
        <v>33</v>
      </c>
    </row>
    <row r="233" spans="1:5" x14ac:dyDescent="0.3">
      <c r="A233" s="12">
        <v>45837</v>
      </c>
      <c r="B233" s="19">
        <v>28225</v>
      </c>
      <c r="C233" s="3" t="s">
        <v>50</v>
      </c>
      <c r="D233" s="3" t="s">
        <v>6</v>
      </c>
      <c r="E233" s="3" t="s">
        <v>7</v>
      </c>
    </row>
    <row r="234" spans="1:5" x14ac:dyDescent="0.3">
      <c r="A234" s="11">
        <v>45837</v>
      </c>
      <c r="B234" s="18">
        <v>17976</v>
      </c>
      <c r="C234" s="2" t="s">
        <v>66</v>
      </c>
      <c r="D234" s="2" t="s">
        <v>9</v>
      </c>
      <c r="E234" s="2" t="s">
        <v>36</v>
      </c>
    </row>
    <row r="235" spans="1:5" x14ac:dyDescent="0.3">
      <c r="A235" s="12">
        <v>45812</v>
      </c>
      <c r="B235" s="19">
        <v>9117</v>
      </c>
      <c r="C235" s="3" t="s">
        <v>76</v>
      </c>
      <c r="D235" s="3" t="s">
        <v>9</v>
      </c>
      <c r="E235" s="3" t="s">
        <v>16</v>
      </c>
    </row>
    <row r="236" spans="1:5" x14ac:dyDescent="0.3">
      <c r="A236" s="11">
        <v>45661</v>
      </c>
      <c r="B236" s="18">
        <v>16441</v>
      </c>
      <c r="C236" s="2" t="s">
        <v>68</v>
      </c>
      <c r="D236" s="2" t="s">
        <v>9</v>
      </c>
      <c r="E236" s="2" t="s">
        <v>36</v>
      </c>
    </row>
    <row r="237" spans="1:5" x14ac:dyDescent="0.3">
      <c r="A237" s="12">
        <v>45741</v>
      </c>
      <c r="B237" s="19">
        <v>13086</v>
      </c>
      <c r="C237" s="3" t="s">
        <v>11</v>
      </c>
      <c r="D237" s="3" t="s">
        <v>6</v>
      </c>
      <c r="E237" s="3" t="s">
        <v>12</v>
      </c>
    </row>
    <row r="238" spans="1:5" x14ac:dyDescent="0.3">
      <c r="A238" s="11">
        <v>45779</v>
      </c>
      <c r="B238" s="18">
        <v>17996</v>
      </c>
      <c r="C238" s="2" t="s">
        <v>38</v>
      </c>
      <c r="D238" s="2" t="s">
        <v>9</v>
      </c>
      <c r="E238" s="2" t="s">
        <v>39</v>
      </c>
    </row>
    <row r="239" spans="1:5" x14ac:dyDescent="0.3">
      <c r="A239" s="12">
        <v>45824</v>
      </c>
      <c r="B239" s="19">
        <v>20465</v>
      </c>
      <c r="C239" s="3" t="s">
        <v>29</v>
      </c>
      <c r="D239" s="3" t="s">
        <v>6</v>
      </c>
      <c r="E239" s="3" t="s">
        <v>12</v>
      </c>
    </row>
    <row r="240" spans="1:5" x14ac:dyDescent="0.3">
      <c r="A240" s="11">
        <v>45680</v>
      </c>
      <c r="B240" s="18">
        <v>14542</v>
      </c>
      <c r="C240" s="2" t="s">
        <v>43</v>
      </c>
      <c r="D240" s="2" t="s">
        <v>9</v>
      </c>
      <c r="E240" s="2" t="s">
        <v>39</v>
      </c>
    </row>
    <row r="241" spans="1:5" x14ac:dyDescent="0.3">
      <c r="A241" s="12">
        <v>45658</v>
      </c>
      <c r="B241" s="19">
        <v>26725</v>
      </c>
      <c r="C241" s="3" t="s">
        <v>29</v>
      </c>
      <c r="D241" s="3" t="s">
        <v>6</v>
      </c>
      <c r="E241" s="3" t="s">
        <v>12</v>
      </c>
    </row>
    <row r="242" spans="1:5" x14ac:dyDescent="0.3">
      <c r="A242" s="11">
        <v>45695</v>
      </c>
      <c r="B242" s="18">
        <v>12824</v>
      </c>
      <c r="C242" s="2" t="s">
        <v>77</v>
      </c>
      <c r="D242" s="2" t="s">
        <v>9</v>
      </c>
      <c r="E242" s="2" t="s">
        <v>28</v>
      </c>
    </row>
    <row r="243" spans="1:5" x14ac:dyDescent="0.3">
      <c r="A243" s="12">
        <v>45701</v>
      </c>
      <c r="B243" s="19">
        <v>48889</v>
      </c>
      <c r="C243" s="3" t="s">
        <v>63</v>
      </c>
      <c r="D243" s="3" t="s">
        <v>6</v>
      </c>
      <c r="E243" s="3" t="s">
        <v>12</v>
      </c>
    </row>
    <row r="244" spans="1:5" x14ac:dyDescent="0.3">
      <c r="A244" s="11">
        <v>45709</v>
      </c>
      <c r="B244" s="18">
        <v>9606</v>
      </c>
      <c r="C244" s="2" t="s">
        <v>29</v>
      </c>
      <c r="D244" s="2" t="s">
        <v>6</v>
      </c>
      <c r="E244" s="2" t="s">
        <v>12</v>
      </c>
    </row>
    <row r="245" spans="1:5" x14ac:dyDescent="0.3">
      <c r="A245" s="12">
        <v>45702</v>
      </c>
      <c r="B245" s="19">
        <v>5931</v>
      </c>
      <c r="C245" s="3" t="s">
        <v>56</v>
      </c>
      <c r="D245" s="3" t="s">
        <v>9</v>
      </c>
      <c r="E245" s="3" t="s">
        <v>54</v>
      </c>
    </row>
    <row r="246" spans="1:5" x14ac:dyDescent="0.3">
      <c r="A246" s="11">
        <v>45815</v>
      </c>
      <c r="B246" s="18">
        <v>14749</v>
      </c>
      <c r="C246" s="2" t="s">
        <v>70</v>
      </c>
      <c r="D246" s="2" t="s">
        <v>6</v>
      </c>
      <c r="E246" s="2" t="s">
        <v>24</v>
      </c>
    </row>
    <row r="247" spans="1:5" x14ac:dyDescent="0.3">
      <c r="A247" s="12">
        <v>45665</v>
      </c>
      <c r="B247" s="19">
        <v>42246</v>
      </c>
      <c r="C247" s="3" t="s">
        <v>70</v>
      </c>
      <c r="D247" s="3" t="s">
        <v>6</v>
      </c>
      <c r="E247" s="3" t="s">
        <v>24</v>
      </c>
    </row>
    <row r="248" spans="1:5" x14ac:dyDescent="0.3">
      <c r="A248" s="11">
        <v>45668</v>
      </c>
      <c r="B248" s="18">
        <v>43966</v>
      </c>
      <c r="C248" s="2" t="s">
        <v>50</v>
      </c>
      <c r="D248" s="2" t="s">
        <v>6</v>
      </c>
      <c r="E248" s="2" t="s">
        <v>7</v>
      </c>
    </row>
    <row r="249" spans="1:5" x14ac:dyDescent="0.3">
      <c r="A249" s="12">
        <v>45667</v>
      </c>
      <c r="B249" s="19">
        <v>6625</v>
      </c>
      <c r="C249" s="3" t="s">
        <v>32</v>
      </c>
      <c r="D249" s="3" t="s">
        <v>9</v>
      </c>
      <c r="E249" s="3" t="s">
        <v>33</v>
      </c>
    </row>
    <row r="250" spans="1:5" x14ac:dyDescent="0.3">
      <c r="A250" s="11">
        <v>45798</v>
      </c>
      <c r="B250" s="18">
        <v>2561</v>
      </c>
      <c r="C250" s="2" t="s">
        <v>27</v>
      </c>
      <c r="D250" s="2" t="s">
        <v>9</v>
      </c>
      <c r="E250" s="2" t="s">
        <v>28</v>
      </c>
    </row>
    <row r="251" spans="1:5" x14ac:dyDescent="0.3">
      <c r="A251" s="12">
        <v>45771</v>
      </c>
      <c r="B251" s="19">
        <v>24272</v>
      </c>
      <c r="C251" s="3" t="s">
        <v>11</v>
      </c>
      <c r="D251" s="3" t="s">
        <v>6</v>
      </c>
      <c r="E251" s="3" t="s">
        <v>12</v>
      </c>
    </row>
    <row r="252" spans="1:5" x14ac:dyDescent="0.3">
      <c r="A252" s="11">
        <v>45692</v>
      </c>
      <c r="B252" s="18">
        <v>4216</v>
      </c>
      <c r="C252" s="2" t="s">
        <v>15</v>
      </c>
      <c r="D252" s="2" t="s">
        <v>9</v>
      </c>
      <c r="E252" s="2" t="s">
        <v>16</v>
      </c>
    </row>
    <row r="253" spans="1:5" x14ac:dyDescent="0.3">
      <c r="A253" s="12">
        <v>45667</v>
      </c>
      <c r="B253" s="19">
        <v>15023</v>
      </c>
      <c r="C253" s="3" t="s">
        <v>72</v>
      </c>
      <c r="D253" s="3" t="s">
        <v>9</v>
      </c>
      <c r="E253" s="3" t="s">
        <v>54</v>
      </c>
    </row>
    <row r="254" spans="1:5" x14ac:dyDescent="0.3">
      <c r="A254" s="11">
        <v>45825</v>
      </c>
      <c r="B254" s="18">
        <v>35593</v>
      </c>
      <c r="C254" s="2" t="s">
        <v>63</v>
      </c>
      <c r="D254" s="2" t="s">
        <v>6</v>
      </c>
      <c r="E254" s="2" t="s">
        <v>12</v>
      </c>
    </row>
    <row r="255" spans="1:5" x14ac:dyDescent="0.3">
      <c r="A255" s="12">
        <v>45724</v>
      </c>
      <c r="B255" s="19">
        <v>691</v>
      </c>
      <c r="C255" s="3" t="s">
        <v>30</v>
      </c>
      <c r="D255" s="3" t="s">
        <v>9</v>
      </c>
      <c r="E255" s="3" t="s">
        <v>26</v>
      </c>
    </row>
    <row r="256" spans="1:5" x14ac:dyDescent="0.3">
      <c r="A256" s="11">
        <v>45689</v>
      </c>
      <c r="B256" s="18">
        <v>44899</v>
      </c>
      <c r="C256" s="2" t="s">
        <v>50</v>
      </c>
      <c r="D256" s="2" t="s">
        <v>6</v>
      </c>
      <c r="E256" s="2" t="s">
        <v>7</v>
      </c>
    </row>
    <row r="257" spans="1:5" x14ac:dyDescent="0.3">
      <c r="A257" s="12">
        <v>45830</v>
      </c>
      <c r="B257" s="19">
        <v>17504</v>
      </c>
      <c r="C257" s="3" t="s">
        <v>64</v>
      </c>
      <c r="D257" s="3" t="s">
        <v>9</v>
      </c>
      <c r="E257" s="3" t="s">
        <v>10</v>
      </c>
    </row>
    <row r="258" spans="1:5" x14ac:dyDescent="0.3">
      <c r="A258" s="11">
        <v>45718</v>
      </c>
      <c r="B258" s="18">
        <v>5137</v>
      </c>
      <c r="C258" s="2" t="s">
        <v>69</v>
      </c>
      <c r="D258" s="2" t="s">
        <v>9</v>
      </c>
      <c r="E258" s="2" t="s">
        <v>54</v>
      </c>
    </row>
    <row r="259" spans="1:5" x14ac:dyDescent="0.3">
      <c r="A259" s="12">
        <v>45831</v>
      </c>
      <c r="B259" s="19">
        <v>15839</v>
      </c>
      <c r="C259" s="3" t="s">
        <v>25</v>
      </c>
      <c r="D259" s="3" t="s">
        <v>9</v>
      </c>
      <c r="E259" s="3" t="s">
        <v>26</v>
      </c>
    </row>
    <row r="260" spans="1:5" x14ac:dyDescent="0.3">
      <c r="A260" s="11">
        <v>45795</v>
      </c>
      <c r="B260" s="18">
        <v>8146</v>
      </c>
      <c r="C260" s="2" t="s">
        <v>18</v>
      </c>
      <c r="D260" s="2" t="s">
        <v>9</v>
      </c>
      <c r="E260" s="2" t="s">
        <v>19</v>
      </c>
    </row>
    <row r="261" spans="1:5" x14ac:dyDescent="0.3">
      <c r="A261" s="12">
        <v>45673</v>
      </c>
      <c r="B261" s="19">
        <v>10910</v>
      </c>
      <c r="C261" s="3" t="s">
        <v>48</v>
      </c>
      <c r="D261" s="3" t="s">
        <v>9</v>
      </c>
      <c r="E261" s="3" t="s">
        <v>46</v>
      </c>
    </row>
    <row r="262" spans="1:5" x14ac:dyDescent="0.3">
      <c r="A262" s="11">
        <v>45807</v>
      </c>
      <c r="B262" s="18">
        <v>335</v>
      </c>
      <c r="C262" s="2" t="s">
        <v>45</v>
      </c>
      <c r="D262" s="2" t="s">
        <v>9</v>
      </c>
      <c r="E262" s="2" t="s">
        <v>46</v>
      </c>
    </row>
    <row r="263" spans="1:5" x14ac:dyDescent="0.3">
      <c r="A263" s="12">
        <v>45699</v>
      </c>
      <c r="B263" s="19">
        <v>11077</v>
      </c>
      <c r="C263" s="3" t="s">
        <v>58</v>
      </c>
      <c r="D263" s="3" t="s">
        <v>9</v>
      </c>
      <c r="E263" s="3" t="s">
        <v>46</v>
      </c>
    </row>
    <row r="264" spans="1:5" x14ac:dyDescent="0.3">
      <c r="A264" s="11">
        <v>45680</v>
      </c>
      <c r="B264" s="18">
        <v>11773</v>
      </c>
      <c r="C264" s="2" t="s">
        <v>43</v>
      </c>
      <c r="D264" s="2" t="s">
        <v>9</v>
      </c>
      <c r="E264" s="2" t="s">
        <v>39</v>
      </c>
    </row>
    <row r="265" spans="1:5" x14ac:dyDescent="0.3">
      <c r="A265" s="12">
        <v>45792</v>
      </c>
      <c r="B265" s="19">
        <v>12382</v>
      </c>
      <c r="C265" s="3" t="s">
        <v>15</v>
      </c>
      <c r="D265" s="3" t="s">
        <v>9</v>
      </c>
      <c r="E265" s="3" t="s">
        <v>16</v>
      </c>
    </row>
    <row r="266" spans="1:5" x14ac:dyDescent="0.3">
      <c r="A266" s="11">
        <v>45691</v>
      </c>
      <c r="B266" s="18">
        <v>8792</v>
      </c>
      <c r="C266" s="2" t="s">
        <v>25</v>
      </c>
      <c r="D266" s="2" t="s">
        <v>9</v>
      </c>
      <c r="E266" s="2" t="s">
        <v>26</v>
      </c>
    </row>
    <row r="267" spans="1:5" x14ac:dyDescent="0.3">
      <c r="A267" s="12">
        <v>45819</v>
      </c>
      <c r="B267" s="19">
        <v>21865</v>
      </c>
      <c r="C267" s="3" t="s">
        <v>23</v>
      </c>
      <c r="D267" s="3" t="s">
        <v>6</v>
      </c>
      <c r="E267" s="3" t="s">
        <v>24</v>
      </c>
    </row>
    <row r="268" spans="1:5" x14ac:dyDescent="0.3">
      <c r="A268" s="11">
        <v>45689</v>
      </c>
      <c r="B268" s="18">
        <v>13563</v>
      </c>
      <c r="C268" s="2" t="s">
        <v>29</v>
      </c>
      <c r="D268" s="2" t="s">
        <v>6</v>
      </c>
      <c r="E268" s="2" t="s">
        <v>12</v>
      </c>
    </row>
    <row r="269" spans="1:5" x14ac:dyDescent="0.3">
      <c r="A269" s="12">
        <v>45676</v>
      </c>
      <c r="B269" s="19">
        <v>23283</v>
      </c>
      <c r="C269" s="3" t="s">
        <v>74</v>
      </c>
      <c r="D269" s="3" t="s">
        <v>6</v>
      </c>
      <c r="E269" s="3" t="s">
        <v>61</v>
      </c>
    </row>
    <row r="270" spans="1:5" x14ac:dyDescent="0.3">
      <c r="A270" s="11">
        <v>45679</v>
      </c>
      <c r="B270" s="18">
        <v>1874</v>
      </c>
      <c r="C270" s="2" t="s">
        <v>57</v>
      </c>
      <c r="D270" s="2" t="s">
        <v>9</v>
      </c>
      <c r="E270" s="2" t="s">
        <v>52</v>
      </c>
    </row>
    <row r="271" spans="1:5" x14ac:dyDescent="0.3">
      <c r="A271" s="12">
        <v>45707</v>
      </c>
      <c r="B271" s="19">
        <v>13669</v>
      </c>
      <c r="C271" s="3" t="s">
        <v>67</v>
      </c>
      <c r="D271" s="3" t="s">
        <v>9</v>
      </c>
      <c r="E271" s="3" t="s">
        <v>19</v>
      </c>
    </row>
    <row r="272" spans="1:5" x14ac:dyDescent="0.3">
      <c r="A272" s="11">
        <v>45771</v>
      </c>
      <c r="B272" s="18">
        <v>9824</v>
      </c>
      <c r="C272" s="2" t="s">
        <v>66</v>
      </c>
      <c r="D272" s="2" t="s">
        <v>9</v>
      </c>
      <c r="E272" s="2" t="s">
        <v>36</v>
      </c>
    </row>
    <row r="273" spans="1:5" x14ac:dyDescent="0.3">
      <c r="A273" s="12">
        <v>45816</v>
      </c>
      <c r="B273" s="19">
        <v>19994</v>
      </c>
      <c r="C273" s="3" t="s">
        <v>29</v>
      </c>
      <c r="D273" s="3" t="s">
        <v>6</v>
      </c>
      <c r="E273" s="3" t="s">
        <v>12</v>
      </c>
    </row>
    <row r="274" spans="1:5" x14ac:dyDescent="0.3">
      <c r="A274" s="11">
        <v>45835</v>
      </c>
      <c r="B274" s="18">
        <v>17981</v>
      </c>
      <c r="C274" s="2" t="s">
        <v>49</v>
      </c>
      <c r="D274" s="2" t="s">
        <v>9</v>
      </c>
      <c r="E274" s="2" t="s">
        <v>39</v>
      </c>
    </row>
    <row r="275" spans="1:5" x14ac:dyDescent="0.3">
      <c r="A275" s="12">
        <v>45685</v>
      </c>
      <c r="B275" s="19">
        <v>31257</v>
      </c>
      <c r="C275" s="3" t="s">
        <v>50</v>
      </c>
      <c r="D275" s="3" t="s">
        <v>6</v>
      </c>
      <c r="E275" s="3" t="s">
        <v>7</v>
      </c>
    </row>
    <row r="276" spans="1:5" x14ac:dyDescent="0.3">
      <c r="A276" s="11">
        <v>45676</v>
      </c>
      <c r="B276" s="18">
        <v>1669</v>
      </c>
      <c r="C276" s="2" t="s">
        <v>48</v>
      </c>
      <c r="D276" s="2" t="s">
        <v>9</v>
      </c>
      <c r="E276" s="2" t="s">
        <v>46</v>
      </c>
    </row>
    <row r="277" spans="1:5" x14ac:dyDescent="0.3">
      <c r="A277" s="12">
        <v>45771</v>
      </c>
      <c r="B277" s="19">
        <v>15242</v>
      </c>
      <c r="C277" s="3" t="s">
        <v>58</v>
      </c>
      <c r="D277" s="3" t="s">
        <v>9</v>
      </c>
      <c r="E277" s="3" t="s">
        <v>46</v>
      </c>
    </row>
    <row r="278" spans="1:5" x14ac:dyDescent="0.3">
      <c r="A278" s="11">
        <v>45767</v>
      </c>
      <c r="B278" s="18">
        <v>14933</v>
      </c>
      <c r="C278" s="2" t="s">
        <v>63</v>
      </c>
      <c r="D278" s="2" t="s">
        <v>6</v>
      </c>
      <c r="E278" s="2" t="s">
        <v>12</v>
      </c>
    </row>
    <row r="279" spans="1:5" x14ac:dyDescent="0.3">
      <c r="A279" s="12">
        <v>45725</v>
      </c>
      <c r="B279" s="19">
        <v>19361</v>
      </c>
      <c r="C279" s="3" t="s">
        <v>55</v>
      </c>
      <c r="D279" s="3" t="s">
        <v>9</v>
      </c>
      <c r="E279" s="3" t="s">
        <v>10</v>
      </c>
    </row>
    <row r="280" spans="1:5" x14ac:dyDescent="0.3">
      <c r="A280" s="11">
        <v>45681</v>
      </c>
      <c r="B280" s="18">
        <v>17920</v>
      </c>
      <c r="C280" s="2" t="s">
        <v>72</v>
      </c>
      <c r="D280" s="2" t="s">
        <v>9</v>
      </c>
      <c r="E280" s="2" t="s">
        <v>54</v>
      </c>
    </row>
    <row r="281" spans="1:5" x14ac:dyDescent="0.3">
      <c r="A281" s="12">
        <v>45777</v>
      </c>
      <c r="B281" s="19">
        <v>19331</v>
      </c>
      <c r="C281" s="3" t="s">
        <v>53</v>
      </c>
      <c r="D281" s="3" t="s">
        <v>9</v>
      </c>
      <c r="E281" s="3" t="s">
        <v>54</v>
      </c>
    </row>
    <row r="282" spans="1:5" x14ac:dyDescent="0.3">
      <c r="A282" s="11">
        <v>45760</v>
      </c>
      <c r="B282" s="18">
        <v>17071</v>
      </c>
      <c r="C282" s="2" t="s">
        <v>81</v>
      </c>
      <c r="D282" s="2" t="s">
        <v>9</v>
      </c>
      <c r="E282" s="2" t="s">
        <v>26</v>
      </c>
    </row>
    <row r="283" spans="1:5" x14ac:dyDescent="0.3">
      <c r="A283" s="12">
        <v>45670</v>
      </c>
      <c r="B283" s="19">
        <v>33041</v>
      </c>
      <c r="C283" s="3" t="s">
        <v>11</v>
      </c>
      <c r="D283" s="3" t="s">
        <v>6</v>
      </c>
      <c r="E283" s="3" t="s">
        <v>12</v>
      </c>
    </row>
    <row r="284" spans="1:5" x14ac:dyDescent="0.3">
      <c r="A284" s="11">
        <v>45715</v>
      </c>
      <c r="B284" s="18">
        <v>15987</v>
      </c>
      <c r="C284" s="2" t="s">
        <v>32</v>
      </c>
      <c r="D284" s="2" t="s">
        <v>9</v>
      </c>
      <c r="E284" s="2" t="s">
        <v>33</v>
      </c>
    </row>
    <row r="285" spans="1:5" x14ac:dyDescent="0.3">
      <c r="A285" s="12">
        <v>45705</v>
      </c>
      <c r="B285" s="19">
        <v>28878</v>
      </c>
      <c r="C285" s="3" t="s">
        <v>50</v>
      </c>
      <c r="D285" s="3" t="s">
        <v>6</v>
      </c>
      <c r="E285" s="3" t="s">
        <v>7</v>
      </c>
    </row>
    <row r="286" spans="1:5" x14ac:dyDescent="0.3">
      <c r="A286" s="11">
        <v>45750</v>
      </c>
      <c r="B286" s="18">
        <v>41810</v>
      </c>
      <c r="C286" s="2" t="s">
        <v>17</v>
      </c>
      <c r="D286" s="2" t="s">
        <v>6</v>
      </c>
      <c r="E286" s="2" t="s">
        <v>7</v>
      </c>
    </row>
    <row r="287" spans="1:5" x14ac:dyDescent="0.3">
      <c r="A287" s="12">
        <v>45764</v>
      </c>
      <c r="B287" s="19">
        <v>1416</v>
      </c>
      <c r="C287" s="3" t="s">
        <v>42</v>
      </c>
      <c r="D287" s="3" t="s">
        <v>9</v>
      </c>
      <c r="E287" s="3" t="s">
        <v>16</v>
      </c>
    </row>
    <row r="288" spans="1:5" x14ac:dyDescent="0.3">
      <c r="A288" s="11">
        <v>45676</v>
      </c>
      <c r="B288" s="18">
        <v>4121</v>
      </c>
      <c r="C288" s="2" t="s">
        <v>25</v>
      </c>
      <c r="D288" s="2" t="s">
        <v>9</v>
      </c>
      <c r="E288" s="2" t="s">
        <v>26</v>
      </c>
    </row>
    <row r="289" spans="1:5" x14ac:dyDescent="0.3">
      <c r="A289" s="12">
        <v>45758</v>
      </c>
      <c r="B289" s="19">
        <v>15831</v>
      </c>
      <c r="C289" s="3" t="s">
        <v>18</v>
      </c>
      <c r="D289" s="3" t="s">
        <v>9</v>
      </c>
      <c r="E289" s="3" t="s">
        <v>19</v>
      </c>
    </row>
    <row r="290" spans="1:5" x14ac:dyDescent="0.3">
      <c r="A290" s="11">
        <v>45699</v>
      </c>
      <c r="B290" s="18">
        <v>21741</v>
      </c>
      <c r="C290" s="2" t="s">
        <v>44</v>
      </c>
      <c r="D290" s="2" t="s">
        <v>6</v>
      </c>
      <c r="E290" s="2" t="s">
        <v>14</v>
      </c>
    </row>
    <row r="291" spans="1:5" x14ac:dyDescent="0.3">
      <c r="A291" s="12">
        <v>45765</v>
      </c>
      <c r="B291" s="19">
        <v>17706</v>
      </c>
      <c r="C291" s="3" t="s">
        <v>68</v>
      </c>
      <c r="D291" s="3" t="s">
        <v>9</v>
      </c>
      <c r="E291" s="3" t="s">
        <v>36</v>
      </c>
    </row>
    <row r="292" spans="1:5" x14ac:dyDescent="0.3">
      <c r="A292" s="11">
        <v>45763</v>
      </c>
      <c r="B292" s="18">
        <v>19699</v>
      </c>
      <c r="C292" s="2" t="s">
        <v>56</v>
      </c>
      <c r="D292" s="2" t="s">
        <v>9</v>
      </c>
      <c r="E292" s="2" t="s">
        <v>54</v>
      </c>
    </row>
    <row r="293" spans="1:5" x14ac:dyDescent="0.3">
      <c r="A293" s="12">
        <v>45807</v>
      </c>
      <c r="B293" s="19">
        <v>11067</v>
      </c>
      <c r="C293" s="3" t="s">
        <v>75</v>
      </c>
      <c r="D293" s="3" t="s">
        <v>9</v>
      </c>
      <c r="E293" s="3" t="s">
        <v>28</v>
      </c>
    </row>
    <row r="294" spans="1:5" x14ac:dyDescent="0.3">
      <c r="A294" s="11">
        <v>45690</v>
      </c>
      <c r="B294" s="18">
        <v>18224</v>
      </c>
      <c r="C294" s="2" t="s">
        <v>67</v>
      </c>
      <c r="D294" s="2" t="s">
        <v>9</v>
      </c>
      <c r="E294" s="2" t="s">
        <v>19</v>
      </c>
    </row>
    <row r="295" spans="1:5" x14ac:dyDescent="0.3">
      <c r="A295" s="12">
        <v>45769</v>
      </c>
      <c r="B295" s="19">
        <v>12497</v>
      </c>
      <c r="C295" s="3" t="s">
        <v>18</v>
      </c>
      <c r="D295" s="3" t="s">
        <v>9</v>
      </c>
      <c r="E295" s="3" t="s">
        <v>19</v>
      </c>
    </row>
    <row r="296" spans="1:5" x14ac:dyDescent="0.3">
      <c r="A296" s="11">
        <v>45724</v>
      </c>
      <c r="B296" s="18">
        <v>2400</v>
      </c>
      <c r="C296" s="2" t="s">
        <v>57</v>
      </c>
      <c r="D296" s="2" t="s">
        <v>9</v>
      </c>
      <c r="E296" s="2" t="s">
        <v>52</v>
      </c>
    </row>
    <row r="297" spans="1:5" x14ac:dyDescent="0.3">
      <c r="A297" s="12">
        <v>45775</v>
      </c>
      <c r="B297" s="19">
        <v>11886</v>
      </c>
      <c r="C297" s="3" t="s">
        <v>17</v>
      </c>
      <c r="D297" s="3" t="s">
        <v>6</v>
      </c>
      <c r="E297" s="3" t="s">
        <v>7</v>
      </c>
    </row>
    <row r="298" spans="1:5" x14ac:dyDescent="0.3">
      <c r="A298" s="11">
        <v>45785</v>
      </c>
      <c r="B298" s="18">
        <v>12271</v>
      </c>
      <c r="C298" s="2" t="s">
        <v>60</v>
      </c>
      <c r="D298" s="2" t="s">
        <v>6</v>
      </c>
      <c r="E298" s="2" t="s">
        <v>61</v>
      </c>
    </row>
    <row r="299" spans="1:5" x14ac:dyDescent="0.3">
      <c r="A299" s="12">
        <v>45775</v>
      </c>
      <c r="B299" s="19">
        <v>16674</v>
      </c>
      <c r="C299" s="3" t="s">
        <v>51</v>
      </c>
      <c r="D299" s="3" t="s">
        <v>9</v>
      </c>
      <c r="E299" s="3" t="s">
        <v>52</v>
      </c>
    </row>
    <row r="300" spans="1:5" x14ac:dyDescent="0.3">
      <c r="A300" s="11">
        <v>45830</v>
      </c>
      <c r="B300" s="18">
        <v>4031</v>
      </c>
      <c r="C300" s="2" t="s">
        <v>35</v>
      </c>
      <c r="D300" s="2" t="s">
        <v>9</v>
      </c>
      <c r="E300" s="2" t="s">
        <v>36</v>
      </c>
    </row>
    <row r="301" spans="1:5" x14ac:dyDescent="0.3">
      <c r="A301" s="12">
        <v>45664</v>
      </c>
      <c r="B301" s="19">
        <v>3223</v>
      </c>
      <c r="C301" s="3" t="s">
        <v>60</v>
      </c>
      <c r="D301" s="3" t="s">
        <v>6</v>
      </c>
      <c r="E301" s="3" t="s">
        <v>61</v>
      </c>
    </row>
    <row r="302" spans="1:5" x14ac:dyDescent="0.3">
      <c r="A302" s="11">
        <v>45801</v>
      </c>
      <c r="B302" s="18">
        <v>3848</v>
      </c>
      <c r="C302" s="2" t="s">
        <v>62</v>
      </c>
      <c r="D302" s="2" t="s">
        <v>9</v>
      </c>
      <c r="E302" s="2" t="s">
        <v>52</v>
      </c>
    </row>
    <row r="303" spans="1:5" x14ac:dyDescent="0.3">
      <c r="A303" s="12">
        <v>45833</v>
      </c>
      <c r="B303" s="19">
        <v>14961</v>
      </c>
      <c r="C303" s="3" t="s">
        <v>35</v>
      </c>
      <c r="D303" s="3" t="s">
        <v>9</v>
      </c>
      <c r="E303" s="3" t="s">
        <v>36</v>
      </c>
    </row>
    <row r="304" spans="1:5" x14ac:dyDescent="0.3">
      <c r="A304" s="11">
        <v>45761</v>
      </c>
      <c r="B304" s="18">
        <v>16022</v>
      </c>
      <c r="C304" s="2" t="s">
        <v>72</v>
      </c>
      <c r="D304" s="2" t="s">
        <v>9</v>
      </c>
      <c r="E304" s="2" t="s">
        <v>54</v>
      </c>
    </row>
    <row r="305" spans="1:5" x14ac:dyDescent="0.3">
      <c r="A305" s="12">
        <v>45686</v>
      </c>
      <c r="B305" s="19">
        <v>611</v>
      </c>
      <c r="C305" s="3" t="s">
        <v>79</v>
      </c>
      <c r="D305" s="3" t="s">
        <v>9</v>
      </c>
      <c r="E305" s="3" t="s">
        <v>33</v>
      </c>
    </row>
    <row r="306" spans="1:5" x14ac:dyDescent="0.3">
      <c r="A306" s="11">
        <v>45734</v>
      </c>
      <c r="B306" s="18">
        <v>12285</v>
      </c>
      <c r="C306" s="2" t="s">
        <v>37</v>
      </c>
      <c r="D306" s="2" t="s">
        <v>9</v>
      </c>
      <c r="E306" s="2" t="s">
        <v>33</v>
      </c>
    </row>
    <row r="307" spans="1:5" x14ac:dyDescent="0.3">
      <c r="A307" s="12">
        <v>45718</v>
      </c>
      <c r="B307" s="19">
        <v>17554</v>
      </c>
      <c r="C307" s="3" t="s">
        <v>55</v>
      </c>
      <c r="D307" s="3" t="s">
        <v>9</v>
      </c>
      <c r="E307" s="3" t="s">
        <v>10</v>
      </c>
    </row>
    <row r="308" spans="1:5" x14ac:dyDescent="0.3">
      <c r="A308" s="11">
        <v>45730</v>
      </c>
      <c r="B308" s="18">
        <v>36710</v>
      </c>
      <c r="C308" s="2" t="s">
        <v>74</v>
      </c>
      <c r="D308" s="2" t="s">
        <v>6</v>
      </c>
      <c r="E308" s="2" t="s">
        <v>61</v>
      </c>
    </row>
    <row r="309" spans="1:5" x14ac:dyDescent="0.3">
      <c r="A309" s="12">
        <v>45719</v>
      </c>
      <c r="B309" s="19">
        <v>285</v>
      </c>
      <c r="C309" s="3" t="s">
        <v>79</v>
      </c>
      <c r="D309" s="3" t="s">
        <v>9</v>
      </c>
      <c r="E309" s="3" t="s">
        <v>33</v>
      </c>
    </row>
    <row r="310" spans="1:5" x14ac:dyDescent="0.3">
      <c r="A310" s="11">
        <v>45792</v>
      </c>
      <c r="B310" s="18">
        <v>3641</v>
      </c>
      <c r="C310" s="2" t="s">
        <v>63</v>
      </c>
      <c r="D310" s="2" t="s">
        <v>6</v>
      </c>
      <c r="E310" s="2" t="s">
        <v>12</v>
      </c>
    </row>
    <row r="311" spans="1:5" x14ac:dyDescent="0.3">
      <c r="A311" s="12">
        <v>45687</v>
      </c>
      <c r="B311" s="19">
        <v>7997</v>
      </c>
      <c r="C311" s="3" t="s">
        <v>44</v>
      </c>
      <c r="D311" s="3" t="s">
        <v>6</v>
      </c>
      <c r="E311" s="3" t="s">
        <v>14</v>
      </c>
    </row>
    <row r="312" spans="1:5" x14ac:dyDescent="0.3">
      <c r="A312" s="11">
        <v>45807</v>
      </c>
      <c r="B312" s="18">
        <v>8843</v>
      </c>
      <c r="C312" s="2" t="s">
        <v>53</v>
      </c>
      <c r="D312" s="2" t="s">
        <v>9</v>
      </c>
      <c r="E312" s="2" t="s">
        <v>54</v>
      </c>
    </row>
    <row r="313" spans="1:5" x14ac:dyDescent="0.3">
      <c r="A313" s="12">
        <v>45694</v>
      </c>
      <c r="B313" s="19">
        <v>9993</v>
      </c>
      <c r="C313" s="3" t="s">
        <v>44</v>
      </c>
      <c r="D313" s="3" t="s">
        <v>6</v>
      </c>
      <c r="E313" s="3" t="s">
        <v>14</v>
      </c>
    </row>
    <row r="314" spans="1:5" x14ac:dyDescent="0.3">
      <c r="A314" s="11">
        <v>45768</v>
      </c>
      <c r="B314" s="18">
        <v>22072</v>
      </c>
      <c r="C314" s="2" t="s">
        <v>11</v>
      </c>
      <c r="D314" s="2" t="s">
        <v>6</v>
      </c>
      <c r="E314" s="2" t="s">
        <v>12</v>
      </c>
    </row>
    <row r="315" spans="1:5" x14ac:dyDescent="0.3">
      <c r="A315" s="12">
        <v>45699</v>
      </c>
      <c r="B315" s="19">
        <v>14901</v>
      </c>
      <c r="C315" s="3" t="s">
        <v>64</v>
      </c>
      <c r="D315" s="3" t="s">
        <v>9</v>
      </c>
      <c r="E315" s="3" t="s">
        <v>10</v>
      </c>
    </row>
    <row r="316" spans="1:5" x14ac:dyDescent="0.3">
      <c r="A316" s="11">
        <v>45691</v>
      </c>
      <c r="B316" s="18">
        <v>965</v>
      </c>
      <c r="C316" s="2" t="s">
        <v>34</v>
      </c>
      <c r="D316" s="2" t="s">
        <v>9</v>
      </c>
      <c r="E316" s="2" t="s">
        <v>19</v>
      </c>
    </row>
    <row r="317" spans="1:5" x14ac:dyDescent="0.3">
      <c r="A317" s="12">
        <v>45772</v>
      </c>
      <c r="B317" s="19">
        <v>13739</v>
      </c>
      <c r="C317" s="3" t="s">
        <v>71</v>
      </c>
      <c r="D317" s="3" t="s">
        <v>9</v>
      </c>
      <c r="E317" s="3" t="s">
        <v>28</v>
      </c>
    </row>
    <row r="318" spans="1:5" x14ac:dyDescent="0.3">
      <c r="A318" s="11">
        <v>45757</v>
      </c>
      <c r="B318" s="18">
        <v>2723</v>
      </c>
      <c r="C318" s="2" t="s">
        <v>73</v>
      </c>
      <c r="D318" s="2" t="s">
        <v>9</v>
      </c>
      <c r="E318" s="2" t="s">
        <v>46</v>
      </c>
    </row>
    <row r="319" spans="1:5" x14ac:dyDescent="0.3">
      <c r="A319" s="12">
        <v>45810</v>
      </c>
      <c r="B319" s="19">
        <v>4808</v>
      </c>
      <c r="C319" s="3" t="s">
        <v>56</v>
      </c>
      <c r="D319" s="3" t="s">
        <v>9</v>
      </c>
      <c r="E319" s="3" t="s">
        <v>54</v>
      </c>
    </row>
    <row r="320" spans="1:5" x14ac:dyDescent="0.3">
      <c r="A320" s="11">
        <v>45707</v>
      </c>
      <c r="B320" s="18">
        <v>11307</v>
      </c>
      <c r="C320" s="2" t="s">
        <v>48</v>
      </c>
      <c r="D320" s="2" t="s">
        <v>9</v>
      </c>
      <c r="E320" s="2" t="s">
        <v>46</v>
      </c>
    </row>
    <row r="321" spans="1:5" x14ac:dyDescent="0.3">
      <c r="A321" s="12">
        <v>45756</v>
      </c>
      <c r="B321" s="19">
        <v>9736</v>
      </c>
      <c r="C321" s="3" t="s">
        <v>62</v>
      </c>
      <c r="D321" s="3" t="s">
        <v>9</v>
      </c>
      <c r="E321" s="3" t="s">
        <v>52</v>
      </c>
    </row>
    <row r="322" spans="1:5" x14ac:dyDescent="0.3">
      <c r="A322" s="11">
        <v>45825</v>
      </c>
      <c r="B322" s="18">
        <v>6548</v>
      </c>
      <c r="C322" s="2" t="s">
        <v>20</v>
      </c>
      <c r="D322" s="2" t="s">
        <v>9</v>
      </c>
      <c r="E322" s="2" t="s">
        <v>21</v>
      </c>
    </row>
    <row r="323" spans="1:5" x14ac:dyDescent="0.3">
      <c r="A323" s="12">
        <v>45823</v>
      </c>
      <c r="B323" s="19">
        <v>6019</v>
      </c>
      <c r="C323" s="3" t="s">
        <v>67</v>
      </c>
      <c r="D323" s="3" t="s">
        <v>9</v>
      </c>
      <c r="E323" s="3" t="s">
        <v>19</v>
      </c>
    </row>
    <row r="324" spans="1:5" x14ac:dyDescent="0.3">
      <c r="A324" s="11">
        <v>45708</v>
      </c>
      <c r="B324" s="18">
        <v>4142</v>
      </c>
      <c r="C324" s="2" t="s">
        <v>8</v>
      </c>
      <c r="D324" s="2" t="s">
        <v>9</v>
      </c>
      <c r="E324" s="2" t="s">
        <v>10</v>
      </c>
    </row>
    <row r="325" spans="1:5" x14ac:dyDescent="0.3">
      <c r="A325" s="12">
        <v>45782</v>
      </c>
      <c r="B325" s="19">
        <v>6478</v>
      </c>
      <c r="C325" s="3" t="s">
        <v>49</v>
      </c>
      <c r="D325" s="3" t="s">
        <v>9</v>
      </c>
      <c r="E325" s="3" t="s">
        <v>39</v>
      </c>
    </row>
    <row r="326" spans="1:5" x14ac:dyDescent="0.3">
      <c r="A326" s="11">
        <v>45837</v>
      </c>
      <c r="B326" s="18">
        <v>8151</v>
      </c>
      <c r="C326" s="2" t="s">
        <v>45</v>
      </c>
      <c r="D326" s="2" t="s">
        <v>9</v>
      </c>
      <c r="E326" s="2" t="s">
        <v>46</v>
      </c>
    </row>
    <row r="327" spans="1:5" x14ac:dyDescent="0.3">
      <c r="A327" s="12">
        <v>45806</v>
      </c>
      <c r="B327" s="19">
        <v>20766</v>
      </c>
      <c r="C327" s="3" t="s">
        <v>82</v>
      </c>
      <c r="D327" s="3" t="s">
        <v>6</v>
      </c>
      <c r="E327" s="3" t="s">
        <v>24</v>
      </c>
    </row>
    <row r="328" spans="1:5" x14ac:dyDescent="0.3">
      <c r="A328" s="11">
        <v>45709</v>
      </c>
      <c r="B328" s="18">
        <v>14883</v>
      </c>
      <c r="C328" s="2" t="s">
        <v>31</v>
      </c>
      <c r="D328" s="2" t="s">
        <v>9</v>
      </c>
      <c r="E328" s="2" t="s">
        <v>26</v>
      </c>
    </row>
    <row r="329" spans="1:5" x14ac:dyDescent="0.3">
      <c r="A329" s="12">
        <v>45792</v>
      </c>
      <c r="B329" s="19">
        <v>15737</v>
      </c>
      <c r="C329" s="3" t="s">
        <v>41</v>
      </c>
      <c r="D329" s="3" t="s">
        <v>9</v>
      </c>
      <c r="E329" s="3" t="s">
        <v>21</v>
      </c>
    </row>
    <row r="330" spans="1:5" x14ac:dyDescent="0.3">
      <c r="A330" s="11">
        <v>45698</v>
      </c>
      <c r="B330" s="18">
        <v>17652</v>
      </c>
      <c r="C330" s="2" t="s">
        <v>51</v>
      </c>
      <c r="D330" s="2" t="s">
        <v>9</v>
      </c>
      <c r="E330" s="2" t="s">
        <v>52</v>
      </c>
    </row>
    <row r="331" spans="1:5" x14ac:dyDescent="0.3">
      <c r="A331" s="12">
        <v>45807</v>
      </c>
      <c r="B331" s="19">
        <v>16562</v>
      </c>
      <c r="C331" s="3" t="s">
        <v>35</v>
      </c>
      <c r="D331" s="3" t="s">
        <v>9</v>
      </c>
      <c r="E331" s="3" t="s">
        <v>36</v>
      </c>
    </row>
    <row r="332" spans="1:5" x14ac:dyDescent="0.3">
      <c r="A332" s="11">
        <v>45729</v>
      </c>
      <c r="B332" s="18">
        <v>15232</v>
      </c>
      <c r="C332" s="2" t="s">
        <v>49</v>
      </c>
      <c r="D332" s="2" t="s">
        <v>9</v>
      </c>
      <c r="E332" s="2" t="s">
        <v>39</v>
      </c>
    </row>
    <row r="333" spans="1:5" x14ac:dyDescent="0.3">
      <c r="A333" s="12">
        <v>45739</v>
      </c>
      <c r="B333" s="19">
        <v>5676</v>
      </c>
      <c r="C333" s="3" t="s">
        <v>58</v>
      </c>
      <c r="D333" s="3" t="s">
        <v>9</v>
      </c>
      <c r="E333" s="3" t="s">
        <v>46</v>
      </c>
    </row>
    <row r="334" spans="1:5" x14ac:dyDescent="0.3">
      <c r="A334" s="11">
        <v>45790</v>
      </c>
      <c r="B334" s="18">
        <v>41397</v>
      </c>
      <c r="C334" s="2" t="s">
        <v>23</v>
      </c>
      <c r="D334" s="2" t="s">
        <v>6</v>
      </c>
      <c r="E334" s="2" t="s">
        <v>24</v>
      </c>
    </row>
    <row r="335" spans="1:5" x14ac:dyDescent="0.3">
      <c r="A335" s="12">
        <v>45706</v>
      </c>
      <c r="B335" s="19">
        <v>4647</v>
      </c>
      <c r="C335" s="3" t="s">
        <v>56</v>
      </c>
      <c r="D335" s="3" t="s">
        <v>9</v>
      </c>
      <c r="E335" s="3" t="s">
        <v>54</v>
      </c>
    </row>
    <row r="336" spans="1:5" x14ac:dyDescent="0.3">
      <c r="A336" s="11">
        <v>45671</v>
      </c>
      <c r="B336" s="18">
        <v>42774</v>
      </c>
      <c r="C336" s="2" t="s">
        <v>82</v>
      </c>
      <c r="D336" s="2" t="s">
        <v>6</v>
      </c>
      <c r="E336" s="2" t="s">
        <v>24</v>
      </c>
    </row>
    <row r="337" spans="1:5" x14ac:dyDescent="0.3">
      <c r="A337" s="12">
        <v>45776</v>
      </c>
      <c r="B337" s="19">
        <v>15387</v>
      </c>
      <c r="C337" s="3" t="s">
        <v>76</v>
      </c>
      <c r="D337" s="3" t="s">
        <v>9</v>
      </c>
      <c r="E337" s="3" t="s">
        <v>16</v>
      </c>
    </row>
    <row r="338" spans="1:5" x14ac:dyDescent="0.3">
      <c r="A338" s="11">
        <v>45795</v>
      </c>
      <c r="B338" s="18">
        <v>12427</v>
      </c>
      <c r="C338" s="2" t="s">
        <v>47</v>
      </c>
      <c r="D338" s="2" t="s">
        <v>9</v>
      </c>
      <c r="E338" s="2" t="s">
        <v>10</v>
      </c>
    </row>
    <row r="339" spans="1:5" x14ac:dyDescent="0.3">
      <c r="A339" s="12">
        <v>45700</v>
      </c>
      <c r="B339" s="19">
        <v>6704</v>
      </c>
      <c r="C339" s="3" t="s">
        <v>76</v>
      </c>
      <c r="D339" s="3" t="s">
        <v>9</v>
      </c>
      <c r="E339" s="3" t="s">
        <v>16</v>
      </c>
    </row>
    <row r="340" spans="1:5" x14ac:dyDescent="0.3">
      <c r="A340" s="11">
        <v>45817</v>
      </c>
      <c r="B340" s="18">
        <v>1162</v>
      </c>
      <c r="C340" s="2" t="s">
        <v>34</v>
      </c>
      <c r="D340" s="2" t="s">
        <v>9</v>
      </c>
      <c r="E340" s="2" t="s">
        <v>19</v>
      </c>
    </row>
    <row r="341" spans="1:5" x14ac:dyDescent="0.3">
      <c r="A341" s="12">
        <v>45800</v>
      </c>
      <c r="B341" s="19">
        <v>4524</v>
      </c>
      <c r="C341" s="3" t="s">
        <v>35</v>
      </c>
      <c r="D341" s="3" t="s">
        <v>9</v>
      </c>
      <c r="E341" s="3" t="s">
        <v>36</v>
      </c>
    </row>
    <row r="342" spans="1:5" x14ac:dyDescent="0.3">
      <c r="A342" s="11">
        <v>45711</v>
      </c>
      <c r="B342" s="18">
        <v>23532</v>
      </c>
      <c r="C342" s="2" t="s">
        <v>29</v>
      </c>
      <c r="D342" s="2" t="s">
        <v>6</v>
      </c>
      <c r="E342" s="2" t="s">
        <v>12</v>
      </c>
    </row>
    <row r="343" spans="1:5" x14ac:dyDescent="0.3">
      <c r="A343" s="12">
        <v>45711</v>
      </c>
      <c r="B343" s="19">
        <v>19660</v>
      </c>
      <c r="C343" s="3" t="s">
        <v>37</v>
      </c>
      <c r="D343" s="3" t="s">
        <v>9</v>
      </c>
      <c r="E343" s="3" t="s">
        <v>33</v>
      </c>
    </row>
    <row r="344" spans="1:5" x14ac:dyDescent="0.3">
      <c r="A344" s="11">
        <v>45830</v>
      </c>
      <c r="B344" s="18">
        <v>6509</v>
      </c>
      <c r="C344" s="2" t="s">
        <v>48</v>
      </c>
      <c r="D344" s="2" t="s">
        <v>9</v>
      </c>
      <c r="E344" s="2" t="s">
        <v>46</v>
      </c>
    </row>
    <row r="345" spans="1:5" x14ac:dyDescent="0.3">
      <c r="A345" s="12">
        <v>45742</v>
      </c>
      <c r="B345" s="19">
        <v>1064</v>
      </c>
      <c r="C345" s="3" t="s">
        <v>72</v>
      </c>
      <c r="D345" s="3" t="s">
        <v>9</v>
      </c>
      <c r="E345" s="3" t="s">
        <v>54</v>
      </c>
    </row>
    <row r="346" spans="1:5" x14ac:dyDescent="0.3">
      <c r="A346" s="11">
        <v>45796</v>
      </c>
      <c r="B346" s="18">
        <v>3216</v>
      </c>
      <c r="C346" s="2" t="s">
        <v>53</v>
      </c>
      <c r="D346" s="2" t="s">
        <v>9</v>
      </c>
      <c r="E346" s="2" t="s">
        <v>54</v>
      </c>
    </row>
    <row r="347" spans="1:5" x14ac:dyDescent="0.3">
      <c r="A347" s="12">
        <v>45834</v>
      </c>
      <c r="B347" s="19">
        <v>18401</v>
      </c>
      <c r="C347" s="3" t="s">
        <v>62</v>
      </c>
      <c r="D347" s="3" t="s">
        <v>9</v>
      </c>
      <c r="E347" s="3" t="s">
        <v>52</v>
      </c>
    </row>
    <row r="348" spans="1:5" x14ac:dyDescent="0.3">
      <c r="A348" s="11">
        <v>45707</v>
      </c>
      <c r="B348" s="18">
        <v>17475</v>
      </c>
      <c r="C348" s="2" t="s">
        <v>20</v>
      </c>
      <c r="D348" s="2" t="s">
        <v>9</v>
      </c>
      <c r="E348" s="2" t="s">
        <v>21</v>
      </c>
    </row>
    <row r="349" spans="1:5" x14ac:dyDescent="0.3">
      <c r="A349" s="12">
        <v>45835</v>
      </c>
      <c r="B349" s="19">
        <v>9923</v>
      </c>
      <c r="C349" s="3" t="s">
        <v>45</v>
      </c>
      <c r="D349" s="3" t="s">
        <v>9</v>
      </c>
      <c r="E349" s="3" t="s">
        <v>46</v>
      </c>
    </row>
    <row r="350" spans="1:5" x14ac:dyDescent="0.3">
      <c r="A350" s="11">
        <v>45740</v>
      </c>
      <c r="B350" s="18">
        <v>11924</v>
      </c>
      <c r="C350" s="2" t="s">
        <v>43</v>
      </c>
      <c r="D350" s="2" t="s">
        <v>9</v>
      </c>
      <c r="E350" s="2" t="s">
        <v>39</v>
      </c>
    </row>
    <row r="351" spans="1:5" x14ac:dyDescent="0.3">
      <c r="A351" s="12">
        <v>45689</v>
      </c>
      <c r="B351" s="19">
        <v>9097</v>
      </c>
      <c r="C351" s="3" t="s">
        <v>32</v>
      </c>
      <c r="D351" s="3" t="s">
        <v>9</v>
      </c>
      <c r="E351" s="3" t="s">
        <v>33</v>
      </c>
    </row>
    <row r="352" spans="1:5" x14ac:dyDescent="0.3">
      <c r="A352" s="11">
        <v>45802</v>
      </c>
      <c r="B352" s="18">
        <v>13055</v>
      </c>
      <c r="C352" s="2" t="s">
        <v>62</v>
      </c>
      <c r="D352" s="2" t="s">
        <v>9</v>
      </c>
      <c r="E352" s="2" t="s">
        <v>52</v>
      </c>
    </row>
    <row r="353" spans="1:5" x14ac:dyDescent="0.3">
      <c r="A353" s="6"/>
      <c r="B353" s="2"/>
      <c r="C353" s="2"/>
      <c r="D353" s="2"/>
      <c r="E353" s="2"/>
    </row>
  </sheetData>
  <dataValidations count="3">
    <dataValidation type="date" allowBlank="1" showInputMessage="1" showErrorMessage="1" errorTitle="Invalid Date Entry" error="Please enter a valid date between 01/01/2020 and 31/12/2035._x000a_Make sure the format is correct (DD-MM-YYYY)._x000a_" sqref="A2 A3:A1048576" xr:uid="{3CC33CE4-C47E-46BD-B1E1-3410FAF24A1A}">
      <formula1>43831</formula1>
      <formula2>49674</formula2>
    </dataValidation>
    <dataValidation type="list" allowBlank="1" showInputMessage="1" showErrorMessage="1" errorTitle="Invalid Type" error="Only &quot;Income&quot; or &quot;Expense&quot; is allowed." sqref="D2:D1048576" xr:uid="{2388FA86-2A96-4B48-827F-69499C10B62C}">
      <formula1>"Income,Expense"</formula1>
    </dataValidation>
    <dataValidation type="decimal" operator="greaterThan" allowBlank="1" showInputMessage="1" showErrorMessage="1" errorTitle="Invalid Amount" error="Amount must be a number greater than 0." sqref="B3:B1048576" xr:uid="{123AC015-EEAF-4BBA-B1DE-7A737D0DE41F}">
      <formula1>0</formula1>
    </dataValidation>
  </dataValidations>
  <pageMargins left="0.7" right="0.7" top="0.75" bottom="0.75" header="0.3" footer="0.3"/>
  <ignoredErrors>
    <ignoredError sqref="D2 A2" listDataValidation="1"/>
  </ignoredErrors>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utton1_Click">
                <anchor moveWithCells="1" sizeWithCells="1">
                  <from>
                    <xdr:col>0</xdr:col>
                    <xdr:colOff>0</xdr:colOff>
                    <xdr:row>0</xdr:row>
                    <xdr:rowOff>0</xdr:rowOff>
                  </from>
                  <to>
                    <xdr:col>1</xdr:col>
                    <xdr:colOff>15240</xdr:colOff>
                    <xdr:row>1</xdr:row>
                    <xdr:rowOff>38100</xdr:rowOff>
                  </to>
                </anchor>
              </controlPr>
            </control>
          </mc:Choice>
        </mc:AlternateContent>
      </controls>
    </mc:Choice>
  </mc:AlternateContent>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62B9A1-B865-44D0-AD13-B769C9AF89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KPI Calculations</vt:lpstr>
      <vt:lpstr>Pivot_Top5Expenses</vt:lpstr>
      <vt:lpstr>Pivot_Top5IncomeSources</vt:lpstr>
      <vt:lpstr>Pivot_ExpensebyCategory</vt:lpstr>
      <vt:lpstr>Pivot_IncomebyCategory</vt:lpstr>
      <vt:lpstr>Pivot_MonthlySummary</vt:lpstr>
      <vt:lpstr>Categories</vt:lpstr>
      <vt:lpstr>Expense_Data</vt:lpstr>
      <vt:lpstr>Income_Data</vt:lpstr>
      <vt:lpstr>tblRawData</vt:lpstr>
      <vt:lpstr>Dashboard</vt:lpstr>
      <vt:lpstr>raw_data</vt:lpstr>
      <vt:lpstr>ExpenseList</vt:lpstr>
      <vt:lpstr>IncomeList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Rajyashree_nandy</dc:creator>
  <cp:lastModifiedBy>RAJYASHREE NANDY</cp:lastModifiedBy>
  <dcterms:created xsi:type="dcterms:W3CDTF">2025-07-13T14:01:31Z</dcterms:created>
  <dcterms:modified xsi:type="dcterms:W3CDTF">2025-07-22T16:58:09Z</dcterms:modified>
</cp:coreProperties>
</file>